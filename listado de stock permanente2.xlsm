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externalLinks/externalLink97.xml" ContentType="application/vnd.openxmlformats-officedocument.spreadsheetml.externalLink+xml"/>
  <Override PartName="/xl/externalLinks/externalLink98.xml" ContentType="application/vnd.openxmlformats-officedocument.spreadsheetml.externalLink+xml"/>
  <Override PartName="/xl/externalLinks/externalLink99.xml" ContentType="application/vnd.openxmlformats-officedocument.spreadsheetml.externalLink+xml"/>
  <Override PartName="/xl/externalLinks/externalLink100.xml" ContentType="application/vnd.openxmlformats-officedocument.spreadsheetml.externalLink+xml"/>
  <Override PartName="/xl/externalLinks/externalLink101.xml" ContentType="application/vnd.openxmlformats-officedocument.spreadsheetml.externalLink+xml"/>
  <Override PartName="/xl/externalLinks/externalLink102.xml" ContentType="application/vnd.openxmlformats-officedocument.spreadsheetml.externalLink+xml"/>
  <Override PartName="/xl/externalLinks/externalLink103.xml" ContentType="application/vnd.openxmlformats-officedocument.spreadsheetml.externalLink+xml"/>
  <Override PartName="/xl/externalLinks/externalLink104.xml" ContentType="application/vnd.openxmlformats-officedocument.spreadsheetml.externalLink+xml"/>
  <Override PartName="/xl/externalLinks/externalLink105.xml" ContentType="application/vnd.openxmlformats-officedocument.spreadsheetml.externalLink+xml"/>
  <Override PartName="/xl/externalLinks/externalLink106.xml" ContentType="application/vnd.openxmlformats-officedocument.spreadsheetml.externalLink+xml"/>
  <Override PartName="/xl/externalLinks/externalLink107.xml" ContentType="application/vnd.openxmlformats-officedocument.spreadsheetml.externalLink+xml"/>
  <Override PartName="/xl/externalLinks/externalLink108.xml" ContentType="application/vnd.openxmlformats-officedocument.spreadsheetml.externalLink+xml"/>
  <Override PartName="/xl/externalLinks/externalLink109.xml" ContentType="application/vnd.openxmlformats-officedocument.spreadsheetml.externalLink+xml"/>
  <Override PartName="/xl/externalLinks/externalLink110.xml" ContentType="application/vnd.openxmlformats-officedocument.spreadsheetml.externalLink+xml"/>
  <Override PartName="/xl/externalLinks/externalLink111.xml" ContentType="application/vnd.openxmlformats-officedocument.spreadsheetml.externalLink+xml"/>
  <Override PartName="/xl/externalLinks/externalLink112.xml" ContentType="application/vnd.openxmlformats-officedocument.spreadsheetml.externalLink+xml"/>
  <Override PartName="/xl/externalLinks/externalLink113.xml" ContentType="application/vnd.openxmlformats-officedocument.spreadsheetml.externalLink+xml"/>
  <Override PartName="/xl/externalLinks/externalLink114.xml" ContentType="application/vnd.openxmlformats-officedocument.spreadsheetml.externalLink+xml"/>
  <Override PartName="/xl/externalLinks/externalLink115.xml" ContentType="application/vnd.openxmlformats-officedocument.spreadsheetml.externalLink+xml"/>
  <Override PartName="/xl/externalLinks/externalLink116.xml" ContentType="application/vnd.openxmlformats-officedocument.spreadsheetml.externalLink+xml"/>
  <Override PartName="/xl/externalLinks/externalLink117.xml" ContentType="application/vnd.openxmlformats-officedocument.spreadsheetml.externalLink+xml"/>
  <Override PartName="/xl/externalLinks/externalLink118.xml" ContentType="application/vnd.openxmlformats-officedocument.spreadsheetml.externalLink+xml"/>
  <Override PartName="/xl/externalLinks/externalLink119.xml" ContentType="application/vnd.openxmlformats-officedocument.spreadsheetml.externalLink+xml"/>
  <Override PartName="/xl/externalLinks/externalLink120.xml" ContentType="application/vnd.openxmlformats-officedocument.spreadsheetml.externalLink+xml"/>
  <Override PartName="/xl/externalLinks/externalLink121.xml" ContentType="application/vnd.openxmlformats-officedocument.spreadsheetml.externalLink+xml"/>
  <Override PartName="/xl/externalLinks/externalLink122.xml" ContentType="application/vnd.openxmlformats-officedocument.spreadsheetml.externalLink+xml"/>
  <Override PartName="/xl/externalLinks/externalLink123.xml" ContentType="application/vnd.openxmlformats-officedocument.spreadsheetml.externalLink+xml"/>
  <Override PartName="/xl/externalLinks/externalLink124.xml" ContentType="application/vnd.openxmlformats-officedocument.spreadsheetml.externalLink+xml"/>
  <Override PartName="/xl/externalLinks/externalLink125.xml" ContentType="application/vnd.openxmlformats-officedocument.spreadsheetml.externalLink+xml"/>
  <Override PartName="/xl/externalLinks/externalLink126.xml" ContentType="application/vnd.openxmlformats-officedocument.spreadsheetml.externalLink+xml"/>
  <Override PartName="/xl/externalLinks/externalLink127.xml" ContentType="application/vnd.openxmlformats-officedocument.spreadsheetml.externalLink+xml"/>
  <Override PartName="/xl/externalLinks/externalLink128.xml" ContentType="application/vnd.openxmlformats-officedocument.spreadsheetml.externalLink+xml"/>
  <Override PartName="/xl/externalLinks/externalLink129.xml" ContentType="application/vnd.openxmlformats-officedocument.spreadsheetml.externalLink+xml"/>
  <Override PartName="/xl/externalLinks/externalLink130.xml" ContentType="application/vnd.openxmlformats-officedocument.spreadsheetml.externalLink+xml"/>
  <Override PartName="/xl/externalLinks/externalLink131.xml" ContentType="application/vnd.openxmlformats-officedocument.spreadsheetml.externalLink+xml"/>
  <Override PartName="/xl/externalLinks/externalLink132.xml" ContentType="application/vnd.openxmlformats-officedocument.spreadsheetml.externalLink+xml"/>
  <Override PartName="/xl/externalLinks/externalLink133.xml" ContentType="application/vnd.openxmlformats-officedocument.spreadsheetml.externalLink+xml"/>
  <Override PartName="/xl/externalLinks/externalLink134.xml" ContentType="application/vnd.openxmlformats-officedocument.spreadsheetml.externalLink+xml"/>
  <Override PartName="/xl/externalLinks/externalLink135.xml" ContentType="application/vnd.openxmlformats-officedocument.spreadsheetml.externalLink+xml"/>
  <Override PartName="/xl/externalLinks/externalLink136.xml" ContentType="application/vnd.openxmlformats-officedocument.spreadsheetml.externalLink+xml"/>
  <Override PartName="/xl/externalLinks/externalLink137.xml" ContentType="application/vnd.openxmlformats-officedocument.spreadsheetml.externalLink+xml"/>
  <Override PartName="/xl/externalLinks/externalLink138.xml" ContentType="application/vnd.openxmlformats-officedocument.spreadsheetml.externalLink+xml"/>
  <Override PartName="/xl/externalLinks/externalLink139.xml" ContentType="application/vnd.openxmlformats-officedocument.spreadsheetml.externalLink+xml"/>
  <Override PartName="/xl/externalLinks/externalLink140.xml" ContentType="application/vnd.openxmlformats-officedocument.spreadsheetml.externalLink+xml"/>
  <Override PartName="/xl/externalLinks/externalLink141.xml" ContentType="application/vnd.openxmlformats-officedocument.spreadsheetml.externalLink+xml"/>
  <Override PartName="/xl/externalLinks/externalLink142.xml" ContentType="application/vnd.openxmlformats-officedocument.spreadsheetml.externalLink+xml"/>
  <Override PartName="/xl/externalLinks/externalLink143.xml" ContentType="application/vnd.openxmlformats-officedocument.spreadsheetml.externalLink+xml"/>
  <Override PartName="/xl/externalLinks/externalLink144.xml" ContentType="application/vnd.openxmlformats-officedocument.spreadsheetml.externalLink+xml"/>
  <Override PartName="/xl/externalLinks/externalLink145.xml" ContentType="application/vnd.openxmlformats-officedocument.spreadsheetml.externalLink+xml"/>
  <Override PartName="/xl/externalLinks/externalLink146.xml" ContentType="application/vnd.openxmlformats-officedocument.spreadsheetml.externalLink+xml"/>
  <Override PartName="/xl/externalLinks/externalLink147.xml" ContentType="application/vnd.openxmlformats-officedocument.spreadsheetml.externalLink+xml"/>
  <Override PartName="/xl/externalLinks/externalLink148.xml" ContentType="application/vnd.openxmlformats-officedocument.spreadsheetml.externalLink+xml"/>
  <Override PartName="/xl/externalLinks/externalLink149.xml" ContentType="application/vnd.openxmlformats-officedocument.spreadsheetml.externalLink+xml"/>
  <Override PartName="/xl/externalLinks/externalLink150.xml" ContentType="application/vnd.openxmlformats-officedocument.spreadsheetml.externalLink+xml"/>
  <Override PartName="/xl/externalLinks/externalLink151.xml" ContentType="application/vnd.openxmlformats-officedocument.spreadsheetml.externalLink+xml"/>
  <Override PartName="/xl/externalLinks/externalLink152.xml" ContentType="application/vnd.openxmlformats-officedocument.spreadsheetml.externalLink+xml"/>
  <Override PartName="/xl/externalLinks/externalLink153.xml" ContentType="application/vnd.openxmlformats-officedocument.spreadsheetml.externalLink+xml"/>
  <Override PartName="/xl/externalLinks/externalLink154.xml" ContentType="application/vnd.openxmlformats-officedocument.spreadsheetml.externalLink+xml"/>
  <Override PartName="/xl/externalLinks/externalLink155.xml" ContentType="application/vnd.openxmlformats-officedocument.spreadsheetml.externalLink+xml"/>
  <Override PartName="/xl/externalLinks/externalLink156.xml" ContentType="application/vnd.openxmlformats-officedocument.spreadsheetml.externalLink+xml"/>
  <Override PartName="/xl/externalLinks/externalLink157.xml" ContentType="application/vnd.openxmlformats-officedocument.spreadsheetml.externalLink+xml"/>
  <Override PartName="/xl/externalLinks/externalLink158.xml" ContentType="application/vnd.openxmlformats-officedocument.spreadsheetml.externalLink+xml"/>
  <Override PartName="/xl/externalLinks/externalLink159.xml" ContentType="application/vnd.openxmlformats-officedocument.spreadsheetml.externalLink+xml"/>
  <Override PartName="/xl/externalLinks/externalLink160.xml" ContentType="application/vnd.openxmlformats-officedocument.spreadsheetml.externalLink+xml"/>
  <Override PartName="/xl/externalLinks/externalLink161.xml" ContentType="application/vnd.openxmlformats-officedocument.spreadsheetml.externalLink+xml"/>
  <Override PartName="/xl/externalLinks/externalLink162.xml" ContentType="application/vnd.openxmlformats-officedocument.spreadsheetml.externalLink+xml"/>
  <Override PartName="/xl/externalLinks/externalLink163.xml" ContentType="application/vnd.openxmlformats-officedocument.spreadsheetml.externalLink+xml"/>
  <Override PartName="/xl/externalLinks/externalLink164.xml" ContentType="application/vnd.openxmlformats-officedocument.spreadsheetml.externalLink+xml"/>
  <Override PartName="/xl/externalLinks/externalLink165.xml" ContentType="application/vnd.openxmlformats-officedocument.spreadsheetml.externalLink+xml"/>
  <Override PartName="/xl/externalLinks/externalLink166.xml" ContentType="application/vnd.openxmlformats-officedocument.spreadsheetml.externalLink+xml"/>
  <Override PartName="/xl/externalLinks/externalLink167.xml" ContentType="application/vnd.openxmlformats-officedocument.spreadsheetml.externalLink+xml"/>
  <Override PartName="/xl/externalLinks/externalLink168.xml" ContentType="application/vnd.openxmlformats-officedocument.spreadsheetml.externalLink+xml"/>
  <Override PartName="/xl/externalLinks/externalLink169.xml" ContentType="application/vnd.openxmlformats-officedocument.spreadsheetml.externalLink+xml"/>
  <Override PartName="/xl/externalLinks/externalLink170.xml" ContentType="application/vnd.openxmlformats-officedocument.spreadsheetml.externalLink+xml"/>
  <Override PartName="/xl/externalLinks/externalLink171.xml" ContentType="application/vnd.openxmlformats-officedocument.spreadsheetml.externalLink+xml"/>
  <Override PartName="/xl/externalLinks/externalLink172.xml" ContentType="application/vnd.openxmlformats-officedocument.spreadsheetml.externalLink+xml"/>
  <Override PartName="/xl/externalLinks/externalLink173.xml" ContentType="application/vnd.openxmlformats-officedocument.spreadsheetml.externalLink+xml"/>
  <Override PartName="/xl/externalLinks/externalLink174.xml" ContentType="application/vnd.openxmlformats-officedocument.spreadsheetml.externalLink+xml"/>
  <Override PartName="/xl/externalLinks/externalLink175.xml" ContentType="application/vnd.openxmlformats-officedocument.spreadsheetml.externalLink+xml"/>
  <Override PartName="/xl/externalLinks/externalLink176.xml" ContentType="application/vnd.openxmlformats-officedocument.spreadsheetml.externalLink+xml"/>
  <Override PartName="/xl/externalLinks/externalLink177.xml" ContentType="application/vnd.openxmlformats-officedocument.spreadsheetml.externalLink+xml"/>
  <Override PartName="/xl/externalLinks/externalLink178.xml" ContentType="application/vnd.openxmlformats-officedocument.spreadsheetml.externalLink+xml"/>
  <Override PartName="/xl/externalLinks/externalLink179.xml" ContentType="application/vnd.openxmlformats-officedocument.spreadsheetml.externalLink+xml"/>
  <Override PartName="/xl/externalLinks/externalLink180.xml" ContentType="application/vnd.openxmlformats-officedocument.spreadsheetml.externalLink+xml"/>
  <Override PartName="/xl/externalLinks/externalLink181.xml" ContentType="application/vnd.openxmlformats-officedocument.spreadsheetml.externalLink+xml"/>
  <Override PartName="/xl/externalLinks/externalLink182.xml" ContentType="application/vnd.openxmlformats-officedocument.spreadsheetml.externalLink+xml"/>
  <Override PartName="/xl/externalLinks/externalLink183.xml" ContentType="application/vnd.openxmlformats-officedocument.spreadsheetml.externalLink+xml"/>
  <Override PartName="/xl/externalLinks/externalLink184.xml" ContentType="application/vnd.openxmlformats-officedocument.spreadsheetml.externalLink+xml"/>
  <Override PartName="/xl/externalLinks/externalLink185.xml" ContentType="application/vnd.openxmlformats-officedocument.spreadsheetml.externalLink+xml"/>
  <Override PartName="/xl/externalLinks/externalLink186.xml" ContentType="application/vnd.openxmlformats-officedocument.spreadsheetml.externalLink+xml"/>
  <Override PartName="/xl/externalLinks/externalLink187.xml" ContentType="application/vnd.openxmlformats-officedocument.spreadsheetml.externalLink+xml"/>
  <Override PartName="/xl/externalLinks/externalLink188.xml" ContentType="application/vnd.openxmlformats-officedocument.spreadsheetml.externalLink+xml"/>
  <Override PartName="/xl/externalLinks/externalLink189.xml" ContentType="application/vnd.openxmlformats-officedocument.spreadsheetml.externalLink+xml"/>
  <Override PartName="/xl/externalLinks/externalLink190.xml" ContentType="application/vnd.openxmlformats-officedocument.spreadsheetml.externalLink+xml"/>
  <Override PartName="/xl/externalLinks/externalLink191.xml" ContentType="application/vnd.openxmlformats-officedocument.spreadsheetml.externalLink+xml"/>
  <Override PartName="/xl/externalLinks/externalLink192.xml" ContentType="application/vnd.openxmlformats-officedocument.spreadsheetml.externalLink+xml"/>
  <Override PartName="/xl/externalLinks/externalLink193.xml" ContentType="application/vnd.openxmlformats-officedocument.spreadsheetml.externalLink+xml"/>
  <Override PartName="/xl/externalLinks/externalLink194.xml" ContentType="application/vnd.openxmlformats-officedocument.spreadsheetml.externalLink+xml"/>
  <Override PartName="/xl/externalLinks/externalLink195.xml" ContentType="application/vnd.openxmlformats-officedocument.spreadsheetml.externalLink+xml"/>
  <Override PartName="/xl/externalLinks/externalLink196.xml" ContentType="application/vnd.openxmlformats-officedocument.spreadsheetml.externalLink+xml"/>
  <Override PartName="/xl/externalLinks/externalLink197.xml" ContentType="application/vnd.openxmlformats-officedocument.spreadsheetml.externalLink+xml"/>
  <Override PartName="/xl/externalLinks/externalLink198.xml" ContentType="application/vnd.openxmlformats-officedocument.spreadsheetml.externalLink+xml"/>
  <Override PartName="/xl/externalLinks/externalLink199.xml" ContentType="application/vnd.openxmlformats-officedocument.spreadsheetml.externalLink+xml"/>
  <Override PartName="/xl/externalLinks/externalLink200.xml" ContentType="application/vnd.openxmlformats-officedocument.spreadsheetml.externalLink+xml"/>
  <Override PartName="/xl/externalLinks/externalLink201.xml" ContentType="application/vnd.openxmlformats-officedocument.spreadsheetml.externalLink+xml"/>
  <Override PartName="/xl/externalLinks/externalLink202.xml" ContentType="application/vnd.openxmlformats-officedocument.spreadsheetml.externalLink+xml"/>
  <Override PartName="/xl/externalLinks/externalLink203.xml" ContentType="application/vnd.openxmlformats-officedocument.spreadsheetml.externalLink+xml"/>
  <Override PartName="/xl/externalLinks/externalLink204.xml" ContentType="application/vnd.openxmlformats-officedocument.spreadsheetml.externalLink+xml"/>
  <Override PartName="/xl/externalLinks/externalLink205.xml" ContentType="application/vnd.openxmlformats-officedocument.spreadsheetml.externalLink+xml"/>
  <Override PartName="/xl/externalLinks/externalLink206.xml" ContentType="application/vnd.openxmlformats-officedocument.spreadsheetml.externalLink+xml"/>
  <Override PartName="/xl/externalLinks/externalLink207.xml" ContentType="application/vnd.openxmlformats-officedocument.spreadsheetml.externalLink+xml"/>
  <Override PartName="/xl/externalLinks/externalLink208.xml" ContentType="application/vnd.openxmlformats-officedocument.spreadsheetml.externalLink+xml"/>
  <Override PartName="/xl/externalLinks/externalLink209.xml" ContentType="application/vnd.openxmlformats-officedocument.spreadsheetml.externalLink+xml"/>
  <Override PartName="/xl/externalLinks/externalLink210.xml" ContentType="application/vnd.openxmlformats-officedocument.spreadsheetml.externalLink+xml"/>
  <Override PartName="/xl/externalLinks/externalLink211.xml" ContentType="application/vnd.openxmlformats-officedocument.spreadsheetml.externalLink+xml"/>
  <Override PartName="/xl/externalLinks/externalLink212.xml" ContentType="application/vnd.openxmlformats-officedocument.spreadsheetml.externalLink+xml"/>
  <Override PartName="/xl/externalLinks/externalLink213.xml" ContentType="application/vnd.openxmlformats-officedocument.spreadsheetml.externalLink+xml"/>
  <Override PartName="/xl/externalLinks/externalLink214.xml" ContentType="application/vnd.openxmlformats-officedocument.spreadsheetml.externalLink+xml"/>
  <Override PartName="/xl/externalLinks/externalLink215.xml" ContentType="application/vnd.openxmlformats-officedocument.spreadsheetml.externalLink+xml"/>
  <Override PartName="/xl/externalLinks/externalLink216.xml" ContentType="application/vnd.openxmlformats-officedocument.spreadsheetml.externalLink+xml"/>
  <Override PartName="/xl/externalLinks/externalLink217.xml" ContentType="application/vnd.openxmlformats-officedocument.spreadsheetml.externalLink+xml"/>
  <Override PartName="/xl/externalLinks/externalLink218.xml" ContentType="application/vnd.openxmlformats-officedocument.spreadsheetml.externalLink+xml"/>
  <Override PartName="/xl/externalLinks/externalLink219.xml" ContentType="application/vnd.openxmlformats-officedocument.spreadsheetml.externalLink+xml"/>
  <Override PartName="/xl/externalLinks/externalLink220.xml" ContentType="application/vnd.openxmlformats-officedocument.spreadsheetml.externalLink+xml"/>
  <Override PartName="/xl/externalLinks/externalLink221.xml" ContentType="application/vnd.openxmlformats-officedocument.spreadsheetml.externalLink+xml"/>
  <Override PartName="/xl/externalLinks/externalLink222.xml" ContentType="application/vnd.openxmlformats-officedocument.spreadsheetml.externalLink+xml"/>
  <Override PartName="/xl/externalLinks/externalLink223.xml" ContentType="application/vnd.openxmlformats-officedocument.spreadsheetml.externalLink+xml"/>
  <Override PartName="/xl/externalLinks/externalLink224.xml" ContentType="application/vnd.openxmlformats-officedocument.spreadsheetml.externalLink+xml"/>
  <Override PartName="/xl/externalLinks/externalLink225.xml" ContentType="application/vnd.openxmlformats-officedocument.spreadsheetml.externalLink+xml"/>
  <Override PartName="/xl/externalLinks/externalLink226.xml" ContentType="application/vnd.openxmlformats-officedocument.spreadsheetml.externalLink+xml"/>
  <Override PartName="/xl/externalLinks/externalLink227.xml" ContentType="application/vnd.openxmlformats-officedocument.spreadsheetml.externalLink+xml"/>
  <Override PartName="/xl/externalLinks/externalLink228.xml" ContentType="application/vnd.openxmlformats-officedocument.spreadsheetml.externalLink+xml"/>
  <Override PartName="/xl/externalLinks/externalLink229.xml" ContentType="application/vnd.openxmlformats-officedocument.spreadsheetml.externalLink+xml"/>
  <Override PartName="/xl/externalLinks/externalLink230.xml" ContentType="application/vnd.openxmlformats-officedocument.spreadsheetml.externalLink+xml"/>
  <Override PartName="/xl/externalLinks/externalLink231.xml" ContentType="application/vnd.openxmlformats-officedocument.spreadsheetml.externalLink+xml"/>
  <Override PartName="/xl/externalLinks/externalLink232.xml" ContentType="application/vnd.openxmlformats-officedocument.spreadsheetml.externalLink+xml"/>
  <Override PartName="/xl/externalLinks/externalLink233.xml" ContentType="application/vnd.openxmlformats-officedocument.spreadsheetml.externalLink+xml"/>
  <Override PartName="/xl/externalLinks/externalLink234.xml" ContentType="application/vnd.openxmlformats-officedocument.spreadsheetml.externalLink+xml"/>
  <Override PartName="/xl/externalLinks/externalLink235.xml" ContentType="application/vnd.openxmlformats-officedocument.spreadsheetml.externalLink+xml"/>
  <Override PartName="/xl/externalLinks/externalLink236.xml" ContentType="application/vnd.openxmlformats-officedocument.spreadsheetml.externalLink+xml"/>
  <Override PartName="/xl/externalLinks/externalLink237.xml" ContentType="application/vnd.openxmlformats-officedocument.spreadsheetml.externalLink+xml"/>
  <Override PartName="/xl/externalLinks/externalLink238.xml" ContentType="application/vnd.openxmlformats-officedocument.spreadsheetml.externalLink+xml"/>
  <Override PartName="/xl/externalLinks/externalLink239.xml" ContentType="application/vnd.openxmlformats-officedocument.spreadsheetml.externalLink+xml"/>
  <Override PartName="/xl/externalLinks/externalLink240.xml" ContentType="application/vnd.openxmlformats-officedocument.spreadsheetml.externalLink+xml"/>
  <Override PartName="/xl/externalLinks/externalLink241.xml" ContentType="application/vnd.openxmlformats-officedocument.spreadsheetml.externalLink+xml"/>
  <Override PartName="/xl/externalLinks/externalLink242.xml" ContentType="application/vnd.openxmlformats-officedocument.spreadsheetml.externalLink+xml"/>
  <Override PartName="/xl/externalLinks/externalLink243.xml" ContentType="application/vnd.openxmlformats-officedocument.spreadsheetml.externalLink+xml"/>
  <Override PartName="/xl/externalLinks/externalLink244.xml" ContentType="application/vnd.openxmlformats-officedocument.spreadsheetml.externalLink+xml"/>
  <Override PartName="/xl/externalLinks/externalLink245.xml" ContentType="application/vnd.openxmlformats-officedocument.spreadsheetml.externalLink+xml"/>
  <Override PartName="/xl/externalLinks/externalLink246.xml" ContentType="application/vnd.openxmlformats-officedocument.spreadsheetml.externalLink+xml"/>
  <Override PartName="/xl/externalLinks/externalLink247.xml" ContentType="application/vnd.openxmlformats-officedocument.spreadsheetml.externalLink+xml"/>
  <Override PartName="/xl/externalLinks/externalLink248.xml" ContentType="application/vnd.openxmlformats-officedocument.spreadsheetml.externalLink+xml"/>
  <Override PartName="/xl/externalLinks/externalLink249.xml" ContentType="application/vnd.openxmlformats-officedocument.spreadsheetml.externalLink+xml"/>
  <Override PartName="/xl/externalLinks/externalLink250.xml" ContentType="application/vnd.openxmlformats-officedocument.spreadsheetml.externalLink+xml"/>
  <Override PartName="/xl/externalLinks/externalLink251.xml" ContentType="application/vnd.openxmlformats-officedocument.spreadsheetml.externalLink+xml"/>
  <Override PartName="/xl/externalLinks/externalLink252.xml" ContentType="application/vnd.openxmlformats-officedocument.spreadsheetml.externalLink+xml"/>
  <Override PartName="/xl/externalLinks/externalLink253.xml" ContentType="application/vnd.openxmlformats-officedocument.spreadsheetml.externalLink+xml"/>
  <Override PartName="/xl/externalLinks/externalLink254.xml" ContentType="application/vnd.openxmlformats-officedocument.spreadsheetml.externalLink+xml"/>
  <Override PartName="/xl/externalLinks/externalLink255.xml" ContentType="application/vnd.openxmlformats-officedocument.spreadsheetml.externalLink+xml"/>
  <Override PartName="/xl/externalLinks/externalLink256.xml" ContentType="application/vnd.openxmlformats-officedocument.spreadsheetml.externalLink+xml"/>
  <Override PartName="/xl/externalLinks/externalLink257.xml" ContentType="application/vnd.openxmlformats-officedocument.spreadsheetml.externalLink+xml"/>
  <Override PartName="/xl/externalLinks/externalLink258.xml" ContentType="application/vnd.openxmlformats-officedocument.spreadsheetml.externalLink+xml"/>
  <Override PartName="/xl/externalLinks/externalLink259.xml" ContentType="application/vnd.openxmlformats-officedocument.spreadsheetml.externalLink+xml"/>
  <Override PartName="/xl/externalLinks/externalLink260.xml" ContentType="application/vnd.openxmlformats-officedocument.spreadsheetml.externalLink+xml"/>
  <Override PartName="/xl/externalLinks/externalLink261.xml" ContentType="application/vnd.openxmlformats-officedocument.spreadsheetml.externalLink+xml"/>
  <Override PartName="/xl/externalLinks/externalLink262.xml" ContentType="application/vnd.openxmlformats-officedocument.spreadsheetml.externalLink+xml"/>
  <Override PartName="/xl/externalLinks/externalLink263.xml" ContentType="application/vnd.openxmlformats-officedocument.spreadsheetml.externalLink+xml"/>
  <Override PartName="/xl/externalLinks/externalLink264.xml" ContentType="application/vnd.openxmlformats-officedocument.spreadsheetml.externalLink+xml"/>
  <Override PartName="/xl/externalLinks/externalLink265.xml" ContentType="application/vnd.openxmlformats-officedocument.spreadsheetml.externalLink+xml"/>
  <Override PartName="/xl/externalLinks/externalLink266.xml" ContentType="application/vnd.openxmlformats-officedocument.spreadsheetml.externalLink+xml"/>
  <Override PartName="/xl/externalLinks/externalLink267.xml" ContentType="application/vnd.openxmlformats-officedocument.spreadsheetml.externalLink+xml"/>
  <Override PartName="/xl/externalLinks/externalLink268.xml" ContentType="application/vnd.openxmlformats-officedocument.spreadsheetml.externalLink+xml"/>
  <Override PartName="/xl/externalLinks/externalLink269.xml" ContentType="application/vnd.openxmlformats-officedocument.spreadsheetml.externalLink+xml"/>
  <Override PartName="/xl/externalLinks/externalLink270.xml" ContentType="application/vnd.openxmlformats-officedocument.spreadsheetml.externalLink+xml"/>
  <Override PartName="/xl/externalLinks/externalLink271.xml" ContentType="application/vnd.openxmlformats-officedocument.spreadsheetml.externalLink+xml"/>
  <Override PartName="/xl/externalLinks/externalLink272.xml" ContentType="application/vnd.openxmlformats-officedocument.spreadsheetml.externalLink+xml"/>
  <Override PartName="/xl/externalLinks/externalLink273.xml" ContentType="application/vnd.openxmlformats-officedocument.spreadsheetml.externalLink+xml"/>
  <Override PartName="/xl/externalLinks/externalLink274.xml" ContentType="application/vnd.openxmlformats-officedocument.spreadsheetml.externalLink+xml"/>
  <Override PartName="/xl/externalLinks/externalLink275.xml" ContentType="application/vnd.openxmlformats-officedocument.spreadsheetml.externalLink+xml"/>
  <Override PartName="/xl/externalLinks/externalLink276.xml" ContentType="application/vnd.openxmlformats-officedocument.spreadsheetml.externalLink+xml"/>
  <Override PartName="/xl/externalLinks/externalLink277.xml" ContentType="application/vnd.openxmlformats-officedocument.spreadsheetml.externalLink+xml"/>
  <Override PartName="/xl/externalLinks/externalLink278.xml" ContentType="application/vnd.openxmlformats-officedocument.spreadsheetml.externalLink+xml"/>
  <Override PartName="/xl/externalLinks/externalLink279.xml" ContentType="application/vnd.openxmlformats-officedocument.spreadsheetml.externalLink+xml"/>
  <Override PartName="/xl/externalLinks/externalLink280.xml" ContentType="application/vnd.openxmlformats-officedocument.spreadsheetml.externalLink+xml"/>
  <Override PartName="/xl/externalLinks/externalLink281.xml" ContentType="application/vnd.openxmlformats-officedocument.spreadsheetml.externalLink+xml"/>
  <Override PartName="/xl/externalLinks/externalLink282.xml" ContentType="application/vnd.openxmlformats-officedocument.spreadsheetml.externalLink+xml"/>
  <Override PartName="/xl/externalLinks/externalLink283.xml" ContentType="application/vnd.openxmlformats-officedocument.spreadsheetml.externalLink+xml"/>
  <Override PartName="/xl/externalLinks/externalLink284.xml" ContentType="application/vnd.openxmlformats-officedocument.spreadsheetml.externalLink+xml"/>
  <Override PartName="/xl/externalLinks/externalLink285.xml" ContentType="application/vnd.openxmlformats-officedocument.spreadsheetml.externalLink+xml"/>
  <Override PartName="/xl/externalLinks/externalLink286.xml" ContentType="application/vnd.openxmlformats-officedocument.spreadsheetml.externalLink+xml"/>
  <Override PartName="/xl/externalLinks/externalLink287.xml" ContentType="application/vnd.openxmlformats-officedocument.spreadsheetml.externalLink+xml"/>
  <Override PartName="/xl/externalLinks/externalLink288.xml" ContentType="application/vnd.openxmlformats-officedocument.spreadsheetml.externalLink+xml"/>
  <Override PartName="/xl/externalLinks/externalLink289.xml" ContentType="application/vnd.openxmlformats-officedocument.spreadsheetml.externalLink+xml"/>
  <Override PartName="/xl/externalLinks/externalLink290.xml" ContentType="application/vnd.openxmlformats-officedocument.spreadsheetml.externalLink+xml"/>
  <Override PartName="/xl/externalLinks/externalLink291.xml" ContentType="application/vnd.openxmlformats-officedocument.spreadsheetml.externalLink+xml"/>
  <Override PartName="/xl/externalLinks/externalLink292.xml" ContentType="application/vnd.openxmlformats-officedocument.spreadsheetml.externalLink+xml"/>
  <Override PartName="/xl/externalLinks/externalLink293.xml" ContentType="application/vnd.openxmlformats-officedocument.spreadsheetml.externalLink+xml"/>
  <Override PartName="/xl/externalLinks/externalLink294.xml" ContentType="application/vnd.openxmlformats-officedocument.spreadsheetml.externalLink+xml"/>
  <Override PartName="/xl/externalLinks/externalLink295.xml" ContentType="application/vnd.openxmlformats-officedocument.spreadsheetml.externalLink+xml"/>
  <Override PartName="/xl/externalLinks/externalLink296.xml" ContentType="application/vnd.openxmlformats-officedocument.spreadsheetml.externalLink+xml"/>
  <Override PartName="/xl/externalLinks/externalLink297.xml" ContentType="application/vnd.openxmlformats-officedocument.spreadsheetml.externalLink+xml"/>
  <Override PartName="/xl/externalLinks/externalLink298.xml" ContentType="application/vnd.openxmlformats-officedocument.spreadsheetml.externalLink+xml"/>
  <Override PartName="/xl/externalLinks/externalLink299.xml" ContentType="application/vnd.openxmlformats-officedocument.spreadsheetml.externalLink+xml"/>
  <Override PartName="/xl/externalLinks/externalLink300.xml" ContentType="application/vnd.openxmlformats-officedocument.spreadsheetml.externalLink+xml"/>
  <Override PartName="/xl/externalLinks/externalLink301.xml" ContentType="application/vnd.openxmlformats-officedocument.spreadsheetml.externalLink+xml"/>
  <Override PartName="/xl/externalLinks/externalLink302.xml" ContentType="application/vnd.openxmlformats-officedocument.spreadsheetml.externalLink+xml"/>
  <Override PartName="/xl/externalLinks/externalLink303.xml" ContentType="application/vnd.openxmlformats-officedocument.spreadsheetml.externalLink+xml"/>
  <Override PartName="/xl/externalLinks/externalLink304.xml" ContentType="application/vnd.openxmlformats-officedocument.spreadsheetml.externalLink+xml"/>
  <Override PartName="/xl/externalLinks/externalLink305.xml" ContentType="application/vnd.openxmlformats-officedocument.spreadsheetml.externalLink+xml"/>
  <Override PartName="/xl/externalLinks/externalLink306.xml" ContentType="application/vnd.openxmlformats-officedocument.spreadsheetml.externalLink+xml"/>
  <Override PartName="/xl/externalLinks/externalLink307.xml" ContentType="application/vnd.openxmlformats-officedocument.spreadsheetml.externalLink+xml"/>
  <Override PartName="/xl/externalLinks/externalLink308.xml" ContentType="application/vnd.openxmlformats-officedocument.spreadsheetml.externalLink+xml"/>
  <Override PartName="/xl/externalLinks/externalLink309.xml" ContentType="application/vnd.openxmlformats-officedocument.spreadsheetml.externalLink+xml"/>
  <Override PartName="/xl/externalLinks/externalLink310.xml" ContentType="application/vnd.openxmlformats-officedocument.spreadsheetml.externalLink+xml"/>
  <Override PartName="/xl/externalLinks/externalLink311.xml" ContentType="application/vnd.openxmlformats-officedocument.spreadsheetml.externalLink+xml"/>
  <Override PartName="/xl/externalLinks/externalLink312.xml" ContentType="application/vnd.openxmlformats-officedocument.spreadsheetml.externalLink+xml"/>
  <Override PartName="/xl/externalLinks/externalLink313.xml" ContentType="application/vnd.openxmlformats-officedocument.spreadsheetml.externalLink+xml"/>
  <Override PartName="/xl/externalLinks/externalLink314.xml" ContentType="application/vnd.openxmlformats-officedocument.spreadsheetml.externalLink+xml"/>
  <Override PartName="/xl/externalLinks/externalLink315.xml" ContentType="application/vnd.openxmlformats-officedocument.spreadsheetml.externalLink+xml"/>
  <Override PartName="/xl/externalLinks/externalLink316.xml" ContentType="application/vnd.openxmlformats-officedocument.spreadsheetml.externalLink+xml"/>
  <Override PartName="/xl/externalLinks/externalLink317.xml" ContentType="application/vnd.openxmlformats-officedocument.spreadsheetml.externalLink+xml"/>
  <Override PartName="/xl/externalLinks/externalLink318.xml" ContentType="application/vnd.openxmlformats-officedocument.spreadsheetml.externalLink+xml"/>
  <Override PartName="/xl/externalLinks/externalLink319.xml" ContentType="application/vnd.openxmlformats-officedocument.spreadsheetml.externalLink+xml"/>
  <Override PartName="/xl/externalLinks/externalLink320.xml" ContentType="application/vnd.openxmlformats-officedocument.spreadsheetml.externalLink+xml"/>
  <Override PartName="/xl/externalLinks/externalLink321.xml" ContentType="application/vnd.openxmlformats-officedocument.spreadsheetml.externalLink+xml"/>
  <Override PartName="/xl/externalLinks/externalLink322.xml" ContentType="application/vnd.openxmlformats-officedocument.spreadsheetml.externalLink+xml"/>
  <Override PartName="/xl/externalLinks/externalLink323.xml" ContentType="application/vnd.openxmlformats-officedocument.spreadsheetml.externalLink+xml"/>
  <Override PartName="/xl/externalLinks/externalLink324.xml" ContentType="application/vnd.openxmlformats-officedocument.spreadsheetml.externalLink+xml"/>
  <Override PartName="/xl/externalLinks/externalLink325.xml" ContentType="application/vnd.openxmlformats-officedocument.spreadsheetml.externalLink+xml"/>
  <Override PartName="/xl/externalLinks/externalLink326.xml" ContentType="application/vnd.openxmlformats-officedocument.spreadsheetml.externalLink+xml"/>
  <Override PartName="/xl/externalLinks/externalLink327.xml" ContentType="application/vnd.openxmlformats-officedocument.spreadsheetml.externalLink+xml"/>
  <Override PartName="/xl/externalLinks/externalLink328.xml" ContentType="application/vnd.openxmlformats-officedocument.spreadsheetml.externalLink+xml"/>
  <Override PartName="/xl/externalLinks/externalLink329.xml" ContentType="application/vnd.openxmlformats-officedocument.spreadsheetml.externalLink+xml"/>
  <Override PartName="/xl/externalLinks/externalLink330.xml" ContentType="application/vnd.openxmlformats-officedocument.spreadsheetml.externalLink+xml"/>
  <Override PartName="/xl/externalLinks/externalLink331.xml" ContentType="application/vnd.openxmlformats-officedocument.spreadsheetml.externalLink+xml"/>
  <Override PartName="/xl/externalLinks/externalLink332.xml" ContentType="application/vnd.openxmlformats-officedocument.spreadsheetml.externalLink+xml"/>
  <Override PartName="/xl/externalLinks/externalLink333.xml" ContentType="application/vnd.openxmlformats-officedocument.spreadsheetml.externalLink+xml"/>
  <Override PartName="/xl/externalLinks/externalLink334.xml" ContentType="application/vnd.openxmlformats-officedocument.spreadsheetml.externalLink+xml"/>
  <Override PartName="/xl/externalLinks/externalLink335.xml" ContentType="application/vnd.openxmlformats-officedocument.spreadsheetml.externalLink+xml"/>
  <Override PartName="/xl/externalLinks/externalLink336.xml" ContentType="application/vnd.openxmlformats-officedocument.spreadsheetml.externalLink+xml"/>
  <Override PartName="/xl/externalLinks/externalLink337.xml" ContentType="application/vnd.openxmlformats-officedocument.spreadsheetml.externalLink+xml"/>
  <Override PartName="/xl/externalLinks/externalLink338.xml" ContentType="application/vnd.openxmlformats-officedocument.spreadsheetml.externalLink+xml"/>
  <Override PartName="/xl/externalLinks/externalLink339.xml" ContentType="application/vnd.openxmlformats-officedocument.spreadsheetml.externalLink+xml"/>
  <Override PartName="/xl/externalLinks/externalLink340.xml" ContentType="application/vnd.openxmlformats-officedocument.spreadsheetml.externalLink+xml"/>
  <Override PartName="/xl/externalLinks/externalLink341.xml" ContentType="application/vnd.openxmlformats-officedocument.spreadsheetml.externalLink+xml"/>
  <Override PartName="/xl/externalLinks/externalLink342.xml" ContentType="application/vnd.openxmlformats-officedocument.spreadsheetml.externalLink+xml"/>
  <Override PartName="/xl/externalLinks/externalLink343.xml" ContentType="application/vnd.openxmlformats-officedocument.spreadsheetml.externalLink+xml"/>
  <Override PartName="/xl/externalLinks/externalLink344.xml" ContentType="application/vnd.openxmlformats-officedocument.spreadsheetml.externalLink+xml"/>
  <Override PartName="/xl/externalLinks/externalLink345.xml" ContentType="application/vnd.openxmlformats-officedocument.spreadsheetml.externalLink+xml"/>
  <Override PartName="/xl/externalLinks/externalLink346.xml" ContentType="application/vnd.openxmlformats-officedocument.spreadsheetml.externalLink+xml"/>
  <Override PartName="/xl/externalLinks/externalLink347.xml" ContentType="application/vnd.openxmlformats-officedocument.spreadsheetml.externalLink+xml"/>
  <Override PartName="/xl/externalLinks/externalLink348.xml" ContentType="application/vnd.openxmlformats-officedocument.spreadsheetml.externalLink+xml"/>
  <Override PartName="/xl/externalLinks/externalLink349.xml" ContentType="application/vnd.openxmlformats-officedocument.spreadsheetml.externalLink+xml"/>
  <Override PartName="/xl/externalLinks/externalLink350.xml" ContentType="application/vnd.openxmlformats-officedocument.spreadsheetml.externalLink+xml"/>
  <Override PartName="/xl/externalLinks/externalLink351.xml" ContentType="application/vnd.openxmlformats-officedocument.spreadsheetml.externalLink+xml"/>
  <Override PartName="/xl/externalLinks/externalLink352.xml" ContentType="application/vnd.openxmlformats-officedocument.spreadsheetml.externalLink+xml"/>
  <Override PartName="/xl/externalLinks/externalLink353.xml" ContentType="application/vnd.openxmlformats-officedocument.spreadsheetml.externalLink+xml"/>
  <Override PartName="/xl/externalLinks/externalLink354.xml" ContentType="application/vnd.openxmlformats-officedocument.spreadsheetml.externalLink+xml"/>
  <Override PartName="/xl/externalLinks/externalLink355.xml" ContentType="application/vnd.openxmlformats-officedocument.spreadsheetml.externalLink+xml"/>
  <Override PartName="/xl/externalLinks/externalLink356.xml" ContentType="application/vnd.openxmlformats-officedocument.spreadsheetml.externalLink+xml"/>
  <Override PartName="/xl/externalLinks/externalLink357.xml" ContentType="application/vnd.openxmlformats-officedocument.spreadsheetml.externalLink+xml"/>
  <Override PartName="/xl/externalLinks/externalLink358.xml" ContentType="application/vnd.openxmlformats-officedocument.spreadsheetml.externalLink+xml"/>
  <Override PartName="/xl/externalLinks/externalLink359.xml" ContentType="application/vnd.openxmlformats-officedocument.spreadsheetml.externalLink+xml"/>
  <Override PartName="/xl/externalLinks/externalLink360.xml" ContentType="application/vnd.openxmlformats-officedocument.spreadsheetml.externalLink+xml"/>
  <Override PartName="/xl/externalLinks/externalLink361.xml" ContentType="application/vnd.openxmlformats-officedocument.spreadsheetml.externalLink+xml"/>
  <Override PartName="/xl/externalLinks/externalLink362.xml" ContentType="application/vnd.openxmlformats-officedocument.spreadsheetml.externalLink+xml"/>
  <Override PartName="/xl/externalLinks/externalLink363.xml" ContentType="application/vnd.openxmlformats-officedocument.spreadsheetml.externalLink+xml"/>
  <Override PartName="/xl/externalLinks/externalLink364.xml" ContentType="application/vnd.openxmlformats-officedocument.spreadsheetml.externalLink+xml"/>
  <Override PartName="/xl/externalLinks/externalLink365.xml" ContentType="application/vnd.openxmlformats-officedocument.spreadsheetml.externalLink+xml"/>
  <Override PartName="/xl/externalLinks/externalLink366.xml" ContentType="application/vnd.openxmlformats-officedocument.spreadsheetml.externalLink+xml"/>
  <Override PartName="/xl/externalLinks/externalLink367.xml" ContentType="application/vnd.openxmlformats-officedocument.spreadsheetml.externalLink+xml"/>
  <Override PartName="/xl/externalLinks/externalLink368.xml" ContentType="application/vnd.openxmlformats-officedocument.spreadsheetml.externalLink+xml"/>
  <Override PartName="/xl/externalLinks/externalLink369.xml" ContentType="application/vnd.openxmlformats-officedocument.spreadsheetml.externalLink+xml"/>
  <Override PartName="/xl/externalLinks/externalLink370.xml" ContentType="application/vnd.openxmlformats-officedocument.spreadsheetml.externalLink+xml"/>
  <Override PartName="/xl/externalLinks/externalLink371.xml" ContentType="application/vnd.openxmlformats-officedocument.spreadsheetml.externalLink+xml"/>
  <Override PartName="/xl/externalLinks/externalLink372.xml" ContentType="application/vnd.openxmlformats-officedocument.spreadsheetml.externalLink+xml"/>
  <Override PartName="/xl/externalLinks/externalLink373.xml" ContentType="application/vnd.openxmlformats-officedocument.spreadsheetml.externalLink+xml"/>
  <Override PartName="/xl/externalLinks/externalLink374.xml" ContentType="application/vnd.openxmlformats-officedocument.spreadsheetml.externalLink+xml"/>
  <Override PartName="/xl/externalLinks/externalLink375.xml" ContentType="application/vnd.openxmlformats-officedocument.spreadsheetml.externalLink+xml"/>
  <Override PartName="/xl/externalLinks/externalLink376.xml" ContentType="application/vnd.openxmlformats-officedocument.spreadsheetml.externalLink+xml"/>
  <Override PartName="/xl/externalLinks/externalLink377.xml" ContentType="application/vnd.openxmlformats-officedocument.spreadsheetml.externalLink+xml"/>
  <Override PartName="/xl/externalLinks/externalLink378.xml" ContentType="application/vnd.openxmlformats-officedocument.spreadsheetml.externalLink+xml"/>
  <Override PartName="/xl/externalLinks/externalLink379.xml" ContentType="application/vnd.openxmlformats-officedocument.spreadsheetml.externalLink+xml"/>
  <Override PartName="/xl/externalLinks/externalLink380.xml" ContentType="application/vnd.openxmlformats-officedocument.spreadsheetml.externalLink+xml"/>
  <Override PartName="/xl/externalLinks/externalLink381.xml" ContentType="application/vnd.openxmlformats-officedocument.spreadsheetml.externalLink+xml"/>
  <Override PartName="/xl/externalLinks/externalLink382.xml" ContentType="application/vnd.openxmlformats-officedocument.spreadsheetml.externalLink+xml"/>
  <Override PartName="/xl/externalLinks/externalLink383.xml" ContentType="application/vnd.openxmlformats-officedocument.spreadsheetml.externalLink+xml"/>
  <Override PartName="/xl/externalLinks/externalLink384.xml" ContentType="application/vnd.openxmlformats-officedocument.spreadsheetml.externalLink+xml"/>
  <Override PartName="/xl/externalLinks/externalLink385.xml" ContentType="application/vnd.openxmlformats-officedocument.spreadsheetml.externalLink+xml"/>
  <Override PartName="/xl/externalLinks/externalLink386.xml" ContentType="application/vnd.openxmlformats-officedocument.spreadsheetml.externalLink+xml"/>
  <Override PartName="/xl/externalLinks/externalLink387.xml" ContentType="application/vnd.openxmlformats-officedocument.spreadsheetml.externalLink+xml"/>
  <Override PartName="/xl/externalLinks/externalLink388.xml" ContentType="application/vnd.openxmlformats-officedocument.spreadsheetml.externalLink+xml"/>
  <Override PartName="/xl/externalLinks/externalLink389.xml" ContentType="application/vnd.openxmlformats-officedocument.spreadsheetml.externalLink+xml"/>
  <Override PartName="/xl/externalLinks/externalLink390.xml" ContentType="application/vnd.openxmlformats-officedocument.spreadsheetml.externalLink+xml"/>
  <Override PartName="/xl/externalLinks/externalLink391.xml" ContentType="application/vnd.openxmlformats-officedocument.spreadsheetml.externalLink+xml"/>
  <Override PartName="/xl/externalLinks/externalLink392.xml" ContentType="application/vnd.openxmlformats-officedocument.spreadsheetml.externalLink+xml"/>
  <Override PartName="/xl/externalLinks/externalLink393.xml" ContentType="application/vnd.openxmlformats-officedocument.spreadsheetml.externalLink+xml"/>
  <Override PartName="/xl/externalLinks/externalLink394.xml" ContentType="application/vnd.openxmlformats-officedocument.spreadsheetml.externalLink+xml"/>
  <Override PartName="/xl/externalLinks/externalLink395.xml" ContentType="application/vnd.openxmlformats-officedocument.spreadsheetml.externalLink+xml"/>
  <Override PartName="/xl/externalLinks/externalLink396.xml" ContentType="application/vnd.openxmlformats-officedocument.spreadsheetml.externalLink+xml"/>
  <Override PartName="/xl/externalLinks/externalLink397.xml" ContentType="application/vnd.openxmlformats-officedocument.spreadsheetml.externalLink+xml"/>
  <Override PartName="/xl/externalLinks/externalLink398.xml" ContentType="application/vnd.openxmlformats-officedocument.spreadsheetml.externalLink+xml"/>
  <Override PartName="/xl/externalLinks/externalLink399.xml" ContentType="application/vnd.openxmlformats-officedocument.spreadsheetml.externalLink+xml"/>
  <Override PartName="/xl/externalLinks/externalLink400.xml" ContentType="application/vnd.openxmlformats-officedocument.spreadsheetml.externalLink+xml"/>
  <Override PartName="/xl/externalLinks/externalLink401.xml" ContentType="application/vnd.openxmlformats-officedocument.spreadsheetml.externalLink+xml"/>
  <Override PartName="/xl/externalLinks/externalLink402.xml" ContentType="application/vnd.openxmlformats-officedocument.spreadsheetml.externalLink+xml"/>
  <Override PartName="/xl/externalLinks/externalLink403.xml" ContentType="application/vnd.openxmlformats-officedocument.spreadsheetml.externalLink+xml"/>
  <Override PartName="/xl/externalLinks/externalLink404.xml" ContentType="application/vnd.openxmlformats-officedocument.spreadsheetml.externalLink+xml"/>
  <Override PartName="/xl/externalLinks/externalLink405.xml" ContentType="application/vnd.openxmlformats-officedocument.spreadsheetml.externalLink+xml"/>
  <Override PartName="/xl/externalLinks/externalLink406.xml" ContentType="application/vnd.openxmlformats-officedocument.spreadsheetml.externalLink+xml"/>
  <Override PartName="/xl/externalLinks/externalLink407.xml" ContentType="application/vnd.openxmlformats-officedocument.spreadsheetml.externalLink+xml"/>
  <Override PartName="/xl/externalLinks/externalLink408.xml" ContentType="application/vnd.openxmlformats-officedocument.spreadsheetml.externalLink+xml"/>
  <Override PartName="/xl/externalLinks/externalLink409.xml" ContentType="application/vnd.openxmlformats-officedocument.spreadsheetml.externalLink+xml"/>
  <Override PartName="/xl/externalLinks/externalLink410.xml" ContentType="application/vnd.openxmlformats-officedocument.spreadsheetml.externalLink+xml"/>
  <Override PartName="/xl/externalLinks/externalLink411.xml" ContentType="application/vnd.openxmlformats-officedocument.spreadsheetml.externalLink+xml"/>
  <Override PartName="/xl/externalLinks/externalLink412.xml" ContentType="application/vnd.openxmlformats-officedocument.spreadsheetml.externalLink+xml"/>
  <Override PartName="/xl/externalLinks/externalLink413.xml" ContentType="application/vnd.openxmlformats-officedocument.spreadsheetml.externalLink+xml"/>
  <Override PartName="/xl/externalLinks/externalLink414.xml" ContentType="application/vnd.openxmlformats-officedocument.spreadsheetml.externalLink+xml"/>
  <Override PartName="/xl/externalLinks/externalLink415.xml" ContentType="application/vnd.openxmlformats-officedocument.spreadsheetml.externalLink+xml"/>
  <Override PartName="/xl/externalLinks/externalLink416.xml" ContentType="application/vnd.openxmlformats-officedocument.spreadsheetml.externalLink+xml"/>
  <Override PartName="/xl/externalLinks/externalLink417.xml" ContentType="application/vnd.openxmlformats-officedocument.spreadsheetml.externalLink+xml"/>
  <Override PartName="/xl/externalLinks/externalLink418.xml" ContentType="application/vnd.openxmlformats-officedocument.spreadsheetml.externalLink+xml"/>
  <Override PartName="/xl/externalLinks/externalLink419.xml" ContentType="application/vnd.openxmlformats-officedocument.spreadsheetml.externalLink+xml"/>
  <Override PartName="/xl/externalLinks/externalLink420.xml" ContentType="application/vnd.openxmlformats-officedocument.spreadsheetml.externalLink+xml"/>
  <Override PartName="/xl/externalLinks/externalLink421.xml" ContentType="application/vnd.openxmlformats-officedocument.spreadsheetml.externalLink+xml"/>
  <Override PartName="/xl/externalLinks/externalLink422.xml" ContentType="application/vnd.openxmlformats-officedocument.spreadsheetml.externalLink+xml"/>
  <Override PartName="/xl/externalLinks/externalLink423.xml" ContentType="application/vnd.openxmlformats-officedocument.spreadsheetml.externalLink+xml"/>
  <Override PartName="/xl/externalLinks/externalLink424.xml" ContentType="application/vnd.openxmlformats-officedocument.spreadsheetml.externalLink+xml"/>
  <Override PartName="/xl/externalLinks/externalLink425.xml" ContentType="application/vnd.openxmlformats-officedocument.spreadsheetml.externalLink+xml"/>
  <Override PartName="/xl/externalLinks/externalLink426.xml" ContentType="application/vnd.openxmlformats-officedocument.spreadsheetml.externalLink+xml"/>
  <Override PartName="/xl/externalLinks/externalLink427.xml" ContentType="application/vnd.openxmlformats-officedocument.spreadsheetml.externalLink+xml"/>
  <Override PartName="/xl/externalLinks/externalLink428.xml" ContentType="application/vnd.openxmlformats-officedocument.spreadsheetml.externalLink+xml"/>
  <Override PartName="/xl/externalLinks/externalLink429.xml" ContentType="application/vnd.openxmlformats-officedocument.spreadsheetml.externalLink+xml"/>
  <Override PartName="/xl/externalLinks/externalLink430.xml" ContentType="application/vnd.openxmlformats-officedocument.spreadsheetml.externalLink+xml"/>
  <Override PartName="/xl/externalLinks/externalLink431.xml" ContentType="application/vnd.openxmlformats-officedocument.spreadsheetml.externalLink+xml"/>
  <Override PartName="/xl/externalLinks/externalLink432.xml" ContentType="application/vnd.openxmlformats-officedocument.spreadsheetml.externalLink+xml"/>
  <Override PartName="/xl/externalLinks/externalLink433.xml" ContentType="application/vnd.openxmlformats-officedocument.spreadsheetml.externalLink+xml"/>
  <Override PartName="/xl/externalLinks/externalLink434.xml" ContentType="application/vnd.openxmlformats-officedocument.spreadsheetml.externalLink+xml"/>
  <Override PartName="/xl/externalLinks/externalLink435.xml" ContentType="application/vnd.openxmlformats-officedocument.spreadsheetml.externalLink+xml"/>
  <Override PartName="/xl/externalLinks/externalLink436.xml" ContentType="application/vnd.openxmlformats-officedocument.spreadsheetml.externalLink+xml"/>
  <Override PartName="/xl/externalLinks/externalLink437.xml" ContentType="application/vnd.openxmlformats-officedocument.spreadsheetml.externalLink+xml"/>
  <Override PartName="/xl/externalLinks/externalLink438.xml" ContentType="application/vnd.openxmlformats-officedocument.spreadsheetml.externalLink+xml"/>
  <Override PartName="/xl/externalLinks/externalLink439.xml" ContentType="application/vnd.openxmlformats-officedocument.spreadsheetml.externalLink+xml"/>
  <Override PartName="/xl/externalLinks/externalLink440.xml" ContentType="application/vnd.openxmlformats-officedocument.spreadsheetml.externalLink+xml"/>
  <Override PartName="/xl/externalLinks/externalLink441.xml" ContentType="application/vnd.openxmlformats-officedocument.spreadsheetml.externalLink+xml"/>
  <Override PartName="/xl/externalLinks/externalLink442.xml" ContentType="application/vnd.openxmlformats-officedocument.spreadsheetml.externalLink+xml"/>
  <Override PartName="/xl/externalLinks/externalLink443.xml" ContentType="application/vnd.openxmlformats-officedocument.spreadsheetml.externalLink+xml"/>
  <Override PartName="/xl/externalLinks/externalLink444.xml" ContentType="application/vnd.openxmlformats-officedocument.spreadsheetml.externalLink+xml"/>
  <Override PartName="/xl/externalLinks/externalLink445.xml" ContentType="application/vnd.openxmlformats-officedocument.spreadsheetml.externalLink+xml"/>
  <Override PartName="/xl/externalLinks/externalLink446.xml" ContentType="application/vnd.openxmlformats-officedocument.spreadsheetml.externalLink+xml"/>
  <Override PartName="/xl/externalLinks/externalLink447.xml" ContentType="application/vnd.openxmlformats-officedocument.spreadsheetml.externalLink+xml"/>
  <Override PartName="/xl/externalLinks/externalLink448.xml" ContentType="application/vnd.openxmlformats-officedocument.spreadsheetml.externalLink+xml"/>
  <Override PartName="/xl/externalLinks/externalLink449.xml" ContentType="application/vnd.openxmlformats-officedocument.spreadsheetml.externalLink+xml"/>
  <Override PartName="/xl/externalLinks/externalLink450.xml" ContentType="application/vnd.openxmlformats-officedocument.spreadsheetml.externalLink+xml"/>
  <Override PartName="/xl/externalLinks/externalLink451.xml" ContentType="application/vnd.openxmlformats-officedocument.spreadsheetml.externalLink+xml"/>
  <Override PartName="/xl/externalLinks/externalLink452.xml" ContentType="application/vnd.openxmlformats-officedocument.spreadsheetml.externalLink+xml"/>
  <Override PartName="/xl/externalLinks/externalLink453.xml" ContentType="application/vnd.openxmlformats-officedocument.spreadsheetml.externalLink+xml"/>
  <Override PartName="/xl/externalLinks/externalLink454.xml" ContentType="application/vnd.openxmlformats-officedocument.spreadsheetml.externalLink+xml"/>
  <Override PartName="/xl/externalLinks/externalLink455.xml" ContentType="application/vnd.openxmlformats-officedocument.spreadsheetml.externalLink+xml"/>
  <Override PartName="/xl/externalLinks/externalLink456.xml" ContentType="application/vnd.openxmlformats-officedocument.spreadsheetml.externalLink+xml"/>
  <Override PartName="/xl/externalLinks/externalLink457.xml" ContentType="application/vnd.openxmlformats-officedocument.spreadsheetml.externalLink+xml"/>
  <Override PartName="/xl/externalLinks/externalLink458.xml" ContentType="application/vnd.openxmlformats-officedocument.spreadsheetml.externalLink+xml"/>
  <Override PartName="/xl/externalLinks/externalLink459.xml" ContentType="application/vnd.openxmlformats-officedocument.spreadsheetml.externalLink+xml"/>
  <Override PartName="/xl/externalLinks/externalLink460.xml" ContentType="application/vnd.openxmlformats-officedocument.spreadsheetml.externalLink+xml"/>
  <Override PartName="/xl/externalLinks/externalLink461.xml" ContentType="application/vnd.openxmlformats-officedocument.spreadsheetml.externalLink+xml"/>
  <Override PartName="/xl/externalLinks/externalLink462.xml" ContentType="application/vnd.openxmlformats-officedocument.spreadsheetml.externalLink+xml"/>
  <Override PartName="/xl/externalLinks/externalLink463.xml" ContentType="application/vnd.openxmlformats-officedocument.spreadsheetml.externalLink+xml"/>
  <Override PartName="/xl/externalLinks/externalLink464.xml" ContentType="application/vnd.openxmlformats-officedocument.spreadsheetml.externalLink+xml"/>
  <Override PartName="/xl/externalLinks/externalLink465.xml" ContentType="application/vnd.openxmlformats-officedocument.spreadsheetml.externalLink+xml"/>
  <Override PartName="/xl/externalLinks/externalLink466.xml" ContentType="application/vnd.openxmlformats-officedocument.spreadsheetml.externalLink+xml"/>
  <Override PartName="/xl/externalLinks/externalLink467.xml" ContentType="application/vnd.openxmlformats-officedocument.spreadsheetml.externalLink+xml"/>
  <Override PartName="/xl/externalLinks/externalLink468.xml" ContentType="application/vnd.openxmlformats-officedocument.spreadsheetml.externalLink+xml"/>
  <Override PartName="/xl/externalLinks/externalLink469.xml" ContentType="application/vnd.openxmlformats-officedocument.spreadsheetml.externalLink+xml"/>
  <Override PartName="/xl/externalLinks/externalLink470.xml" ContentType="application/vnd.openxmlformats-officedocument.spreadsheetml.externalLink+xml"/>
  <Override PartName="/xl/externalLinks/externalLink471.xml" ContentType="application/vnd.openxmlformats-officedocument.spreadsheetml.externalLink+xml"/>
  <Override PartName="/xl/externalLinks/externalLink472.xml" ContentType="application/vnd.openxmlformats-officedocument.spreadsheetml.externalLink+xml"/>
  <Override PartName="/xl/externalLinks/externalLink473.xml" ContentType="application/vnd.openxmlformats-officedocument.spreadsheetml.externalLink+xml"/>
  <Override PartName="/xl/externalLinks/externalLink474.xml" ContentType="application/vnd.openxmlformats-officedocument.spreadsheetml.externalLink+xml"/>
  <Override PartName="/xl/externalLinks/externalLink475.xml" ContentType="application/vnd.openxmlformats-officedocument.spreadsheetml.externalLink+xml"/>
  <Override PartName="/xl/externalLinks/externalLink476.xml" ContentType="application/vnd.openxmlformats-officedocument.spreadsheetml.externalLink+xml"/>
  <Override PartName="/xl/externalLinks/externalLink477.xml" ContentType="application/vnd.openxmlformats-officedocument.spreadsheetml.externalLink+xml"/>
  <Override PartName="/xl/externalLinks/externalLink478.xml" ContentType="application/vnd.openxmlformats-officedocument.spreadsheetml.externalLink+xml"/>
  <Override PartName="/xl/externalLinks/externalLink479.xml" ContentType="application/vnd.openxmlformats-officedocument.spreadsheetml.externalLink+xml"/>
  <Override PartName="/xl/externalLinks/externalLink480.xml" ContentType="application/vnd.openxmlformats-officedocument.spreadsheetml.externalLink+xml"/>
  <Override PartName="/xl/externalLinks/externalLink481.xml" ContentType="application/vnd.openxmlformats-officedocument.spreadsheetml.externalLink+xml"/>
  <Override PartName="/xl/externalLinks/externalLink482.xml" ContentType="application/vnd.openxmlformats-officedocument.spreadsheetml.externalLink+xml"/>
  <Override PartName="/xl/externalLinks/externalLink483.xml" ContentType="application/vnd.openxmlformats-officedocument.spreadsheetml.externalLink+xml"/>
  <Override PartName="/xl/externalLinks/externalLink484.xml" ContentType="application/vnd.openxmlformats-officedocument.spreadsheetml.externalLink+xml"/>
  <Override PartName="/xl/externalLinks/externalLink485.xml" ContentType="application/vnd.openxmlformats-officedocument.spreadsheetml.externalLink+xml"/>
  <Override PartName="/xl/externalLinks/externalLink486.xml" ContentType="application/vnd.openxmlformats-officedocument.spreadsheetml.externalLink+xml"/>
  <Override PartName="/xl/externalLinks/externalLink487.xml" ContentType="application/vnd.openxmlformats-officedocument.spreadsheetml.externalLink+xml"/>
  <Override PartName="/xl/externalLinks/externalLink488.xml" ContentType="application/vnd.openxmlformats-officedocument.spreadsheetml.externalLink+xml"/>
  <Override PartName="/xl/externalLinks/externalLink489.xml" ContentType="application/vnd.openxmlformats-officedocument.spreadsheetml.externalLink+xml"/>
  <Override PartName="/xl/externalLinks/externalLink490.xml" ContentType="application/vnd.openxmlformats-officedocument.spreadsheetml.externalLink+xml"/>
  <Override PartName="/xl/externalLinks/externalLink491.xml" ContentType="application/vnd.openxmlformats-officedocument.spreadsheetml.externalLink+xml"/>
  <Override PartName="/xl/externalLinks/externalLink492.xml" ContentType="application/vnd.openxmlformats-officedocument.spreadsheetml.externalLink+xml"/>
  <Override PartName="/xl/externalLinks/externalLink493.xml" ContentType="application/vnd.openxmlformats-officedocument.spreadsheetml.externalLink+xml"/>
  <Override PartName="/xl/externalLinks/externalLink494.xml" ContentType="application/vnd.openxmlformats-officedocument.spreadsheetml.externalLink+xml"/>
  <Override PartName="/xl/externalLinks/externalLink495.xml" ContentType="application/vnd.openxmlformats-officedocument.spreadsheetml.externalLink+xml"/>
  <Override PartName="/xl/externalLinks/externalLink496.xml" ContentType="application/vnd.openxmlformats-officedocument.spreadsheetml.externalLink+xml"/>
  <Override PartName="/xl/externalLinks/externalLink497.xml" ContentType="application/vnd.openxmlformats-officedocument.spreadsheetml.externalLink+xml"/>
  <Override PartName="/xl/externalLinks/externalLink498.xml" ContentType="application/vnd.openxmlformats-officedocument.spreadsheetml.externalLink+xml"/>
  <Override PartName="/xl/externalLinks/externalLink499.xml" ContentType="application/vnd.openxmlformats-officedocument.spreadsheetml.externalLink+xml"/>
  <Override PartName="/xl/externalLinks/externalLink500.xml" ContentType="application/vnd.openxmlformats-officedocument.spreadsheetml.externalLink+xml"/>
  <Override PartName="/xl/externalLinks/externalLink501.xml" ContentType="application/vnd.openxmlformats-officedocument.spreadsheetml.externalLink+xml"/>
  <Override PartName="/xl/externalLinks/externalLink502.xml" ContentType="application/vnd.openxmlformats-officedocument.spreadsheetml.externalLink+xml"/>
  <Override PartName="/xl/externalLinks/externalLink503.xml" ContentType="application/vnd.openxmlformats-officedocument.spreadsheetml.externalLink+xml"/>
  <Override PartName="/xl/externalLinks/externalLink504.xml" ContentType="application/vnd.openxmlformats-officedocument.spreadsheetml.externalLink+xml"/>
  <Override PartName="/xl/externalLinks/externalLink505.xml" ContentType="application/vnd.openxmlformats-officedocument.spreadsheetml.externalLink+xml"/>
  <Override PartName="/xl/externalLinks/externalLink506.xml" ContentType="application/vnd.openxmlformats-officedocument.spreadsheetml.externalLink+xml"/>
  <Override PartName="/xl/externalLinks/externalLink507.xml" ContentType="application/vnd.openxmlformats-officedocument.spreadsheetml.externalLink+xml"/>
  <Override PartName="/xl/externalLinks/externalLink508.xml" ContentType="application/vnd.openxmlformats-officedocument.spreadsheetml.externalLink+xml"/>
  <Override PartName="/xl/externalLinks/externalLink509.xml" ContentType="application/vnd.openxmlformats-officedocument.spreadsheetml.externalLink+xml"/>
  <Override PartName="/xl/externalLinks/externalLink510.xml" ContentType="application/vnd.openxmlformats-officedocument.spreadsheetml.externalLink+xml"/>
  <Override PartName="/xl/externalLinks/externalLink511.xml" ContentType="application/vnd.openxmlformats-officedocument.spreadsheetml.externalLink+xml"/>
  <Override PartName="/xl/externalLinks/externalLink512.xml" ContentType="application/vnd.openxmlformats-officedocument.spreadsheetml.externalLink+xml"/>
  <Override PartName="/xl/externalLinks/externalLink513.xml" ContentType="application/vnd.openxmlformats-officedocument.spreadsheetml.externalLink+xml"/>
  <Override PartName="/xl/externalLinks/externalLink514.xml" ContentType="application/vnd.openxmlformats-officedocument.spreadsheetml.externalLink+xml"/>
  <Override PartName="/xl/externalLinks/externalLink515.xml" ContentType="application/vnd.openxmlformats-officedocument.spreadsheetml.externalLink+xml"/>
  <Override PartName="/xl/externalLinks/externalLink516.xml" ContentType="application/vnd.openxmlformats-officedocument.spreadsheetml.externalLink+xml"/>
  <Override PartName="/xl/externalLinks/externalLink517.xml" ContentType="application/vnd.openxmlformats-officedocument.spreadsheetml.externalLink+xml"/>
  <Override PartName="/xl/externalLinks/externalLink518.xml" ContentType="application/vnd.openxmlformats-officedocument.spreadsheetml.externalLink+xml"/>
  <Override PartName="/xl/externalLinks/externalLink519.xml" ContentType="application/vnd.openxmlformats-officedocument.spreadsheetml.externalLink+xml"/>
  <Override PartName="/xl/externalLinks/externalLink520.xml" ContentType="application/vnd.openxmlformats-officedocument.spreadsheetml.externalLink+xml"/>
  <Override PartName="/xl/externalLinks/externalLink521.xml" ContentType="application/vnd.openxmlformats-officedocument.spreadsheetml.externalLink+xml"/>
  <Override PartName="/xl/externalLinks/externalLink522.xml" ContentType="application/vnd.openxmlformats-officedocument.spreadsheetml.externalLink+xml"/>
  <Override PartName="/xl/externalLinks/externalLink523.xml" ContentType="application/vnd.openxmlformats-officedocument.spreadsheetml.externalLink+xml"/>
  <Override PartName="/xl/externalLinks/externalLink524.xml" ContentType="application/vnd.openxmlformats-officedocument.spreadsheetml.externalLink+xml"/>
  <Override PartName="/xl/externalLinks/externalLink525.xml" ContentType="application/vnd.openxmlformats-officedocument.spreadsheetml.externalLink+xml"/>
  <Override PartName="/xl/externalLinks/externalLink526.xml" ContentType="application/vnd.openxmlformats-officedocument.spreadsheetml.externalLink+xml"/>
  <Override PartName="/xl/externalLinks/externalLink527.xml" ContentType="application/vnd.openxmlformats-officedocument.spreadsheetml.externalLink+xml"/>
  <Override PartName="/xl/externalLinks/externalLink528.xml" ContentType="application/vnd.openxmlformats-officedocument.spreadsheetml.externalLink+xml"/>
  <Override PartName="/xl/externalLinks/externalLink529.xml" ContentType="application/vnd.openxmlformats-officedocument.spreadsheetml.externalLink+xml"/>
  <Override PartName="/xl/externalLinks/externalLink530.xml" ContentType="application/vnd.openxmlformats-officedocument.spreadsheetml.externalLink+xml"/>
  <Override PartName="/xl/externalLinks/externalLink531.xml" ContentType="application/vnd.openxmlformats-officedocument.spreadsheetml.externalLink+xml"/>
  <Override PartName="/xl/externalLinks/externalLink53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is_Doc\Estudios\Excel\Fadeli\"/>
    </mc:Choice>
  </mc:AlternateContent>
  <xr:revisionPtr revIDLastSave="0" documentId="13_ncr:1_{F6D6A709-BFC1-4FE1-B6EB-C54506C67CFC}" xr6:coauthVersionLast="45" xr6:coauthVersionMax="45" xr10:uidLastSave="{00000000-0000-0000-0000-000000000000}"/>
  <bookViews>
    <workbookView xWindow="-98" yWindow="-98" windowWidth="19396" windowHeight="10395" activeTab="2" xr2:uid="{00000000-000D-0000-FFFF-FFFF00000000}"/>
  </bookViews>
  <sheets>
    <sheet name="Hoja1" sheetId="1" r:id="rId1"/>
    <sheet name="Hoja2" sheetId="2" r:id="rId2"/>
    <sheet name="Listado" sheetId="3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  <externalReference r:id="rId48"/>
    <externalReference r:id="rId49"/>
    <externalReference r:id="rId50"/>
    <externalReference r:id="rId51"/>
    <externalReference r:id="rId52"/>
    <externalReference r:id="rId53"/>
    <externalReference r:id="rId54"/>
    <externalReference r:id="rId55"/>
    <externalReference r:id="rId56"/>
    <externalReference r:id="rId57"/>
    <externalReference r:id="rId58"/>
    <externalReference r:id="rId59"/>
    <externalReference r:id="rId60"/>
    <externalReference r:id="rId61"/>
    <externalReference r:id="rId62"/>
    <externalReference r:id="rId63"/>
    <externalReference r:id="rId64"/>
    <externalReference r:id="rId65"/>
    <externalReference r:id="rId66"/>
    <externalReference r:id="rId67"/>
    <externalReference r:id="rId68"/>
    <externalReference r:id="rId69"/>
    <externalReference r:id="rId70"/>
    <externalReference r:id="rId71"/>
    <externalReference r:id="rId72"/>
    <externalReference r:id="rId73"/>
    <externalReference r:id="rId74"/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  <externalReference r:id="rId102"/>
    <externalReference r:id="rId103"/>
    <externalReference r:id="rId104"/>
    <externalReference r:id="rId105"/>
    <externalReference r:id="rId106"/>
    <externalReference r:id="rId107"/>
    <externalReference r:id="rId108"/>
    <externalReference r:id="rId109"/>
    <externalReference r:id="rId110"/>
    <externalReference r:id="rId111"/>
    <externalReference r:id="rId112"/>
    <externalReference r:id="rId113"/>
    <externalReference r:id="rId114"/>
    <externalReference r:id="rId115"/>
    <externalReference r:id="rId116"/>
    <externalReference r:id="rId117"/>
    <externalReference r:id="rId118"/>
    <externalReference r:id="rId119"/>
    <externalReference r:id="rId120"/>
    <externalReference r:id="rId121"/>
    <externalReference r:id="rId122"/>
    <externalReference r:id="rId123"/>
    <externalReference r:id="rId124"/>
    <externalReference r:id="rId125"/>
    <externalReference r:id="rId126"/>
    <externalReference r:id="rId127"/>
    <externalReference r:id="rId128"/>
    <externalReference r:id="rId129"/>
    <externalReference r:id="rId130"/>
    <externalReference r:id="rId131"/>
    <externalReference r:id="rId132"/>
    <externalReference r:id="rId133"/>
    <externalReference r:id="rId134"/>
    <externalReference r:id="rId135"/>
    <externalReference r:id="rId136"/>
    <externalReference r:id="rId137"/>
    <externalReference r:id="rId138"/>
    <externalReference r:id="rId139"/>
    <externalReference r:id="rId140"/>
    <externalReference r:id="rId141"/>
    <externalReference r:id="rId142"/>
    <externalReference r:id="rId143"/>
    <externalReference r:id="rId144"/>
    <externalReference r:id="rId145"/>
    <externalReference r:id="rId146"/>
    <externalReference r:id="rId147"/>
    <externalReference r:id="rId148"/>
    <externalReference r:id="rId149"/>
    <externalReference r:id="rId150"/>
    <externalReference r:id="rId151"/>
    <externalReference r:id="rId152"/>
    <externalReference r:id="rId153"/>
    <externalReference r:id="rId154"/>
    <externalReference r:id="rId155"/>
    <externalReference r:id="rId156"/>
    <externalReference r:id="rId157"/>
    <externalReference r:id="rId158"/>
    <externalReference r:id="rId159"/>
    <externalReference r:id="rId160"/>
    <externalReference r:id="rId161"/>
    <externalReference r:id="rId162"/>
    <externalReference r:id="rId163"/>
    <externalReference r:id="rId164"/>
    <externalReference r:id="rId165"/>
    <externalReference r:id="rId166"/>
    <externalReference r:id="rId167"/>
    <externalReference r:id="rId168"/>
    <externalReference r:id="rId169"/>
    <externalReference r:id="rId170"/>
    <externalReference r:id="rId171"/>
    <externalReference r:id="rId172"/>
    <externalReference r:id="rId173"/>
    <externalReference r:id="rId174"/>
    <externalReference r:id="rId175"/>
    <externalReference r:id="rId176"/>
    <externalReference r:id="rId177"/>
    <externalReference r:id="rId178"/>
    <externalReference r:id="rId179"/>
    <externalReference r:id="rId180"/>
    <externalReference r:id="rId181"/>
    <externalReference r:id="rId182"/>
    <externalReference r:id="rId183"/>
    <externalReference r:id="rId184"/>
    <externalReference r:id="rId185"/>
    <externalReference r:id="rId186"/>
    <externalReference r:id="rId187"/>
    <externalReference r:id="rId188"/>
    <externalReference r:id="rId189"/>
    <externalReference r:id="rId190"/>
    <externalReference r:id="rId191"/>
    <externalReference r:id="rId192"/>
    <externalReference r:id="rId193"/>
    <externalReference r:id="rId194"/>
    <externalReference r:id="rId195"/>
    <externalReference r:id="rId196"/>
    <externalReference r:id="rId197"/>
    <externalReference r:id="rId198"/>
    <externalReference r:id="rId199"/>
    <externalReference r:id="rId200"/>
    <externalReference r:id="rId201"/>
    <externalReference r:id="rId202"/>
    <externalReference r:id="rId203"/>
    <externalReference r:id="rId204"/>
    <externalReference r:id="rId205"/>
    <externalReference r:id="rId206"/>
    <externalReference r:id="rId207"/>
    <externalReference r:id="rId208"/>
    <externalReference r:id="rId209"/>
    <externalReference r:id="rId210"/>
    <externalReference r:id="rId211"/>
    <externalReference r:id="rId212"/>
    <externalReference r:id="rId213"/>
    <externalReference r:id="rId214"/>
    <externalReference r:id="rId215"/>
    <externalReference r:id="rId216"/>
    <externalReference r:id="rId217"/>
    <externalReference r:id="rId218"/>
    <externalReference r:id="rId219"/>
    <externalReference r:id="rId220"/>
    <externalReference r:id="rId221"/>
    <externalReference r:id="rId222"/>
    <externalReference r:id="rId223"/>
    <externalReference r:id="rId224"/>
    <externalReference r:id="rId225"/>
    <externalReference r:id="rId226"/>
    <externalReference r:id="rId227"/>
    <externalReference r:id="rId228"/>
    <externalReference r:id="rId229"/>
    <externalReference r:id="rId230"/>
    <externalReference r:id="rId231"/>
    <externalReference r:id="rId232"/>
    <externalReference r:id="rId233"/>
    <externalReference r:id="rId234"/>
    <externalReference r:id="rId235"/>
    <externalReference r:id="rId236"/>
    <externalReference r:id="rId237"/>
    <externalReference r:id="rId238"/>
    <externalReference r:id="rId239"/>
    <externalReference r:id="rId240"/>
    <externalReference r:id="rId241"/>
    <externalReference r:id="rId242"/>
    <externalReference r:id="rId243"/>
    <externalReference r:id="rId244"/>
    <externalReference r:id="rId245"/>
    <externalReference r:id="rId246"/>
    <externalReference r:id="rId247"/>
    <externalReference r:id="rId248"/>
    <externalReference r:id="rId249"/>
    <externalReference r:id="rId250"/>
    <externalReference r:id="rId251"/>
    <externalReference r:id="rId252"/>
    <externalReference r:id="rId253"/>
    <externalReference r:id="rId254"/>
    <externalReference r:id="rId255"/>
    <externalReference r:id="rId256"/>
    <externalReference r:id="rId257"/>
    <externalReference r:id="rId258"/>
    <externalReference r:id="rId259"/>
    <externalReference r:id="rId260"/>
    <externalReference r:id="rId261"/>
    <externalReference r:id="rId262"/>
    <externalReference r:id="rId263"/>
    <externalReference r:id="rId264"/>
    <externalReference r:id="rId265"/>
    <externalReference r:id="rId266"/>
    <externalReference r:id="rId267"/>
    <externalReference r:id="rId268"/>
    <externalReference r:id="rId269"/>
    <externalReference r:id="rId270"/>
    <externalReference r:id="rId271"/>
    <externalReference r:id="rId272"/>
    <externalReference r:id="rId273"/>
    <externalReference r:id="rId274"/>
    <externalReference r:id="rId275"/>
    <externalReference r:id="rId276"/>
    <externalReference r:id="rId277"/>
    <externalReference r:id="rId278"/>
    <externalReference r:id="rId279"/>
    <externalReference r:id="rId280"/>
    <externalReference r:id="rId281"/>
    <externalReference r:id="rId282"/>
    <externalReference r:id="rId283"/>
    <externalReference r:id="rId284"/>
    <externalReference r:id="rId285"/>
    <externalReference r:id="rId286"/>
    <externalReference r:id="rId287"/>
    <externalReference r:id="rId288"/>
    <externalReference r:id="rId289"/>
    <externalReference r:id="rId290"/>
    <externalReference r:id="rId291"/>
    <externalReference r:id="rId292"/>
    <externalReference r:id="rId293"/>
    <externalReference r:id="rId294"/>
    <externalReference r:id="rId295"/>
    <externalReference r:id="rId296"/>
    <externalReference r:id="rId297"/>
    <externalReference r:id="rId298"/>
    <externalReference r:id="rId299"/>
    <externalReference r:id="rId300"/>
    <externalReference r:id="rId301"/>
    <externalReference r:id="rId302"/>
    <externalReference r:id="rId303"/>
    <externalReference r:id="rId304"/>
    <externalReference r:id="rId305"/>
    <externalReference r:id="rId306"/>
    <externalReference r:id="rId307"/>
    <externalReference r:id="rId308"/>
    <externalReference r:id="rId309"/>
    <externalReference r:id="rId310"/>
    <externalReference r:id="rId311"/>
    <externalReference r:id="rId312"/>
    <externalReference r:id="rId313"/>
    <externalReference r:id="rId314"/>
    <externalReference r:id="rId315"/>
    <externalReference r:id="rId316"/>
    <externalReference r:id="rId317"/>
    <externalReference r:id="rId318"/>
    <externalReference r:id="rId319"/>
    <externalReference r:id="rId320"/>
    <externalReference r:id="rId321"/>
    <externalReference r:id="rId322"/>
    <externalReference r:id="rId323"/>
    <externalReference r:id="rId324"/>
    <externalReference r:id="rId325"/>
    <externalReference r:id="rId326"/>
    <externalReference r:id="rId327"/>
    <externalReference r:id="rId328"/>
    <externalReference r:id="rId329"/>
    <externalReference r:id="rId330"/>
    <externalReference r:id="rId331"/>
    <externalReference r:id="rId332"/>
    <externalReference r:id="rId333"/>
    <externalReference r:id="rId334"/>
    <externalReference r:id="rId335"/>
    <externalReference r:id="rId336"/>
    <externalReference r:id="rId337"/>
    <externalReference r:id="rId338"/>
    <externalReference r:id="rId339"/>
    <externalReference r:id="rId340"/>
    <externalReference r:id="rId341"/>
    <externalReference r:id="rId342"/>
    <externalReference r:id="rId343"/>
    <externalReference r:id="rId344"/>
    <externalReference r:id="rId345"/>
    <externalReference r:id="rId346"/>
    <externalReference r:id="rId347"/>
    <externalReference r:id="rId348"/>
    <externalReference r:id="rId349"/>
    <externalReference r:id="rId350"/>
    <externalReference r:id="rId351"/>
    <externalReference r:id="rId352"/>
    <externalReference r:id="rId353"/>
    <externalReference r:id="rId354"/>
    <externalReference r:id="rId355"/>
    <externalReference r:id="rId356"/>
    <externalReference r:id="rId357"/>
    <externalReference r:id="rId358"/>
    <externalReference r:id="rId359"/>
    <externalReference r:id="rId360"/>
    <externalReference r:id="rId361"/>
    <externalReference r:id="rId362"/>
    <externalReference r:id="rId363"/>
    <externalReference r:id="rId364"/>
    <externalReference r:id="rId365"/>
    <externalReference r:id="rId366"/>
    <externalReference r:id="rId367"/>
    <externalReference r:id="rId368"/>
    <externalReference r:id="rId369"/>
    <externalReference r:id="rId370"/>
    <externalReference r:id="rId371"/>
    <externalReference r:id="rId372"/>
    <externalReference r:id="rId373"/>
    <externalReference r:id="rId374"/>
    <externalReference r:id="rId375"/>
    <externalReference r:id="rId376"/>
    <externalReference r:id="rId377"/>
    <externalReference r:id="rId378"/>
    <externalReference r:id="rId379"/>
    <externalReference r:id="rId380"/>
    <externalReference r:id="rId381"/>
    <externalReference r:id="rId382"/>
    <externalReference r:id="rId383"/>
    <externalReference r:id="rId384"/>
    <externalReference r:id="rId385"/>
    <externalReference r:id="rId386"/>
    <externalReference r:id="rId387"/>
    <externalReference r:id="rId388"/>
    <externalReference r:id="rId389"/>
    <externalReference r:id="rId390"/>
    <externalReference r:id="rId391"/>
    <externalReference r:id="rId392"/>
    <externalReference r:id="rId393"/>
    <externalReference r:id="rId394"/>
    <externalReference r:id="rId395"/>
    <externalReference r:id="rId396"/>
    <externalReference r:id="rId397"/>
    <externalReference r:id="rId398"/>
    <externalReference r:id="rId399"/>
    <externalReference r:id="rId400"/>
    <externalReference r:id="rId401"/>
    <externalReference r:id="rId402"/>
    <externalReference r:id="rId403"/>
    <externalReference r:id="rId404"/>
    <externalReference r:id="rId405"/>
    <externalReference r:id="rId406"/>
    <externalReference r:id="rId407"/>
    <externalReference r:id="rId408"/>
    <externalReference r:id="rId409"/>
    <externalReference r:id="rId410"/>
    <externalReference r:id="rId411"/>
    <externalReference r:id="rId412"/>
    <externalReference r:id="rId413"/>
    <externalReference r:id="rId414"/>
    <externalReference r:id="rId415"/>
    <externalReference r:id="rId416"/>
    <externalReference r:id="rId417"/>
    <externalReference r:id="rId418"/>
    <externalReference r:id="rId419"/>
    <externalReference r:id="rId420"/>
    <externalReference r:id="rId421"/>
    <externalReference r:id="rId422"/>
    <externalReference r:id="rId423"/>
    <externalReference r:id="rId424"/>
    <externalReference r:id="rId425"/>
    <externalReference r:id="rId426"/>
    <externalReference r:id="rId427"/>
    <externalReference r:id="rId428"/>
    <externalReference r:id="rId429"/>
    <externalReference r:id="rId430"/>
    <externalReference r:id="rId431"/>
    <externalReference r:id="rId432"/>
    <externalReference r:id="rId433"/>
    <externalReference r:id="rId434"/>
    <externalReference r:id="rId435"/>
    <externalReference r:id="rId436"/>
    <externalReference r:id="rId437"/>
    <externalReference r:id="rId438"/>
    <externalReference r:id="rId439"/>
    <externalReference r:id="rId440"/>
    <externalReference r:id="rId441"/>
    <externalReference r:id="rId442"/>
    <externalReference r:id="rId443"/>
    <externalReference r:id="rId444"/>
    <externalReference r:id="rId445"/>
    <externalReference r:id="rId446"/>
    <externalReference r:id="rId447"/>
    <externalReference r:id="rId448"/>
    <externalReference r:id="rId449"/>
    <externalReference r:id="rId450"/>
    <externalReference r:id="rId451"/>
    <externalReference r:id="rId452"/>
    <externalReference r:id="rId453"/>
    <externalReference r:id="rId454"/>
    <externalReference r:id="rId455"/>
    <externalReference r:id="rId456"/>
    <externalReference r:id="rId457"/>
    <externalReference r:id="rId458"/>
    <externalReference r:id="rId459"/>
    <externalReference r:id="rId460"/>
    <externalReference r:id="rId461"/>
    <externalReference r:id="rId462"/>
    <externalReference r:id="rId463"/>
    <externalReference r:id="rId464"/>
    <externalReference r:id="rId465"/>
    <externalReference r:id="rId466"/>
    <externalReference r:id="rId467"/>
    <externalReference r:id="rId468"/>
    <externalReference r:id="rId469"/>
    <externalReference r:id="rId470"/>
    <externalReference r:id="rId471"/>
    <externalReference r:id="rId472"/>
    <externalReference r:id="rId473"/>
    <externalReference r:id="rId474"/>
    <externalReference r:id="rId475"/>
    <externalReference r:id="rId476"/>
    <externalReference r:id="rId477"/>
    <externalReference r:id="rId478"/>
    <externalReference r:id="rId479"/>
    <externalReference r:id="rId480"/>
    <externalReference r:id="rId481"/>
    <externalReference r:id="rId482"/>
    <externalReference r:id="rId483"/>
    <externalReference r:id="rId484"/>
    <externalReference r:id="rId485"/>
    <externalReference r:id="rId486"/>
    <externalReference r:id="rId487"/>
    <externalReference r:id="rId488"/>
    <externalReference r:id="rId489"/>
    <externalReference r:id="rId490"/>
    <externalReference r:id="rId491"/>
    <externalReference r:id="rId492"/>
    <externalReference r:id="rId493"/>
    <externalReference r:id="rId494"/>
    <externalReference r:id="rId495"/>
    <externalReference r:id="rId496"/>
    <externalReference r:id="rId497"/>
    <externalReference r:id="rId498"/>
    <externalReference r:id="rId499"/>
    <externalReference r:id="rId500"/>
    <externalReference r:id="rId501"/>
    <externalReference r:id="rId502"/>
    <externalReference r:id="rId503"/>
    <externalReference r:id="rId504"/>
    <externalReference r:id="rId505"/>
    <externalReference r:id="rId506"/>
    <externalReference r:id="rId507"/>
    <externalReference r:id="rId508"/>
    <externalReference r:id="rId509"/>
    <externalReference r:id="rId510"/>
    <externalReference r:id="rId511"/>
    <externalReference r:id="rId512"/>
    <externalReference r:id="rId513"/>
    <externalReference r:id="rId514"/>
    <externalReference r:id="rId515"/>
    <externalReference r:id="rId516"/>
    <externalReference r:id="rId517"/>
    <externalReference r:id="rId518"/>
    <externalReference r:id="rId519"/>
    <externalReference r:id="rId520"/>
    <externalReference r:id="rId521"/>
    <externalReference r:id="rId522"/>
    <externalReference r:id="rId523"/>
    <externalReference r:id="rId524"/>
    <externalReference r:id="rId525"/>
    <externalReference r:id="rId526"/>
    <externalReference r:id="rId527"/>
    <externalReference r:id="rId528"/>
    <externalReference r:id="rId529"/>
    <externalReference r:id="rId530"/>
    <externalReference r:id="rId531"/>
    <externalReference r:id="rId532"/>
    <externalReference r:id="rId533"/>
    <externalReference r:id="rId534"/>
    <externalReference r:id="rId535"/>
  </externalReferences>
  <definedNames>
    <definedName name="_xlnm.Print_Area" localSheetId="0">Hoja1!$A$1:$I$24</definedName>
    <definedName name="_xlnm.Print_Area" localSheetId="1">Hoja2!$B$1:$I$28</definedName>
    <definedName name="_xlnm.Print_Titles" localSheetId="2">Listado!$2:$2</definedName>
  </definedNames>
  <calcPr calcId="181029"/>
</workbook>
</file>

<file path=xl/calcChain.xml><?xml version="1.0" encoding="utf-8"?>
<calcChain xmlns="http://schemas.openxmlformats.org/spreadsheetml/2006/main">
  <c r="K532" i="3" l="1"/>
  <c r="J532" i="3"/>
  <c r="H532" i="3"/>
  <c r="G532" i="3"/>
  <c r="I532" i="3" s="1"/>
  <c r="F532" i="3"/>
  <c r="E532" i="3"/>
  <c r="D532" i="3"/>
  <c r="C532" i="3"/>
  <c r="K531" i="3"/>
  <c r="J531" i="3"/>
  <c r="H531" i="3"/>
  <c r="G531" i="3"/>
  <c r="I531" i="3" s="1"/>
  <c r="F531" i="3"/>
  <c r="E531" i="3"/>
  <c r="D531" i="3"/>
  <c r="C531" i="3"/>
  <c r="K530" i="3"/>
  <c r="J530" i="3"/>
  <c r="H530" i="3"/>
  <c r="G530" i="3"/>
  <c r="I530" i="3" s="1"/>
  <c r="F530" i="3"/>
  <c r="E530" i="3"/>
  <c r="D530" i="3"/>
  <c r="C530" i="3"/>
  <c r="K529" i="3"/>
  <c r="J529" i="3"/>
  <c r="H529" i="3"/>
  <c r="G529" i="3"/>
  <c r="I529" i="3" s="1"/>
  <c r="F529" i="3"/>
  <c r="E529" i="3"/>
  <c r="D529" i="3"/>
  <c r="C529" i="3"/>
  <c r="K528" i="3"/>
  <c r="J528" i="3"/>
  <c r="H528" i="3"/>
  <c r="G528" i="3"/>
  <c r="I528" i="3" s="1"/>
  <c r="F528" i="3"/>
  <c r="E528" i="3"/>
  <c r="D528" i="3"/>
  <c r="C528" i="3"/>
  <c r="K527" i="3"/>
  <c r="J527" i="3"/>
  <c r="H527" i="3"/>
  <c r="G527" i="3"/>
  <c r="I527" i="3" s="1"/>
  <c r="F527" i="3"/>
  <c r="E527" i="3"/>
  <c r="D527" i="3"/>
  <c r="C527" i="3"/>
  <c r="K526" i="3"/>
  <c r="J526" i="3"/>
  <c r="H526" i="3"/>
  <c r="G526" i="3"/>
  <c r="I526" i="3" s="1"/>
  <c r="F526" i="3"/>
  <c r="E526" i="3"/>
  <c r="D526" i="3"/>
  <c r="C526" i="3"/>
  <c r="K525" i="3"/>
  <c r="J525" i="3"/>
  <c r="H525" i="3"/>
  <c r="G525" i="3"/>
  <c r="I525" i="3" s="1"/>
  <c r="F525" i="3"/>
  <c r="E525" i="3"/>
  <c r="D525" i="3"/>
  <c r="C525" i="3"/>
  <c r="K524" i="3"/>
  <c r="J524" i="3"/>
  <c r="H524" i="3"/>
  <c r="G524" i="3"/>
  <c r="I524" i="3" s="1"/>
  <c r="F524" i="3"/>
  <c r="E524" i="3"/>
  <c r="D524" i="3"/>
  <c r="C524" i="3"/>
  <c r="K523" i="3"/>
  <c r="J523" i="3"/>
  <c r="H523" i="3"/>
  <c r="G523" i="3"/>
  <c r="I523" i="3" s="1"/>
  <c r="F523" i="3"/>
  <c r="E523" i="3"/>
  <c r="D523" i="3"/>
  <c r="C523" i="3"/>
  <c r="K522" i="3"/>
  <c r="J522" i="3"/>
  <c r="H522" i="3"/>
  <c r="G522" i="3"/>
  <c r="I522" i="3" s="1"/>
  <c r="F522" i="3"/>
  <c r="E522" i="3"/>
  <c r="D522" i="3"/>
  <c r="C522" i="3"/>
  <c r="K521" i="3"/>
  <c r="J521" i="3"/>
  <c r="H521" i="3"/>
  <c r="G521" i="3"/>
  <c r="I521" i="3" s="1"/>
  <c r="F521" i="3"/>
  <c r="E521" i="3"/>
  <c r="D521" i="3"/>
  <c r="C521" i="3"/>
  <c r="K520" i="3"/>
  <c r="J520" i="3"/>
  <c r="H520" i="3"/>
  <c r="G520" i="3"/>
  <c r="I520" i="3" s="1"/>
  <c r="F520" i="3"/>
  <c r="E520" i="3"/>
  <c r="D520" i="3"/>
  <c r="C520" i="3"/>
  <c r="K519" i="3"/>
  <c r="J519" i="3"/>
  <c r="H519" i="3"/>
  <c r="G519" i="3"/>
  <c r="I519" i="3" s="1"/>
  <c r="F519" i="3"/>
  <c r="E519" i="3"/>
  <c r="D519" i="3"/>
  <c r="C519" i="3"/>
  <c r="K518" i="3"/>
  <c r="J518" i="3"/>
  <c r="H518" i="3"/>
  <c r="G518" i="3"/>
  <c r="I518" i="3" s="1"/>
  <c r="F518" i="3"/>
  <c r="E518" i="3"/>
  <c r="D518" i="3"/>
  <c r="C518" i="3"/>
  <c r="K517" i="3"/>
  <c r="J517" i="3"/>
  <c r="H517" i="3"/>
  <c r="G517" i="3"/>
  <c r="I517" i="3" s="1"/>
  <c r="F517" i="3"/>
  <c r="E517" i="3"/>
  <c r="D517" i="3"/>
  <c r="C517" i="3"/>
  <c r="K516" i="3"/>
  <c r="J516" i="3"/>
  <c r="H516" i="3"/>
  <c r="G516" i="3"/>
  <c r="I516" i="3" s="1"/>
  <c r="F516" i="3"/>
  <c r="E516" i="3"/>
  <c r="D516" i="3"/>
  <c r="C516" i="3"/>
  <c r="K515" i="3"/>
  <c r="J515" i="3"/>
  <c r="H515" i="3"/>
  <c r="G515" i="3"/>
  <c r="I515" i="3" s="1"/>
  <c r="F515" i="3"/>
  <c r="E515" i="3"/>
  <c r="D515" i="3"/>
  <c r="C515" i="3"/>
  <c r="K514" i="3"/>
  <c r="J514" i="3"/>
  <c r="H514" i="3"/>
  <c r="G514" i="3"/>
  <c r="I514" i="3" s="1"/>
  <c r="F514" i="3"/>
  <c r="E514" i="3"/>
  <c r="D514" i="3"/>
  <c r="C514" i="3"/>
  <c r="K513" i="3"/>
  <c r="J513" i="3"/>
  <c r="H513" i="3"/>
  <c r="G513" i="3"/>
  <c r="I513" i="3" s="1"/>
  <c r="F513" i="3"/>
  <c r="E513" i="3"/>
  <c r="D513" i="3"/>
  <c r="C513" i="3"/>
  <c r="K512" i="3"/>
  <c r="J512" i="3"/>
  <c r="H512" i="3"/>
  <c r="G512" i="3"/>
  <c r="I512" i="3" s="1"/>
  <c r="F512" i="3"/>
  <c r="E512" i="3"/>
  <c r="D512" i="3"/>
  <c r="C512" i="3"/>
  <c r="K511" i="3"/>
  <c r="J511" i="3"/>
  <c r="H511" i="3"/>
  <c r="G511" i="3"/>
  <c r="I511" i="3" s="1"/>
  <c r="F511" i="3"/>
  <c r="E511" i="3"/>
  <c r="D511" i="3"/>
  <c r="C511" i="3"/>
  <c r="K510" i="3"/>
  <c r="J510" i="3"/>
  <c r="H510" i="3"/>
  <c r="G510" i="3"/>
  <c r="I510" i="3" s="1"/>
  <c r="F510" i="3"/>
  <c r="E510" i="3"/>
  <c r="D510" i="3"/>
  <c r="C510" i="3"/>
  <c r="K509" i="3"/>
  <c r="J509" i="3"/>
  <c r="H509" i="3"/>
  <c r="G509" i="3"/>
  <c r="I509" i="3" s="1"/>
  <c r="F509" i="3"/>
  <c r="E509" i="3"/>
  <c r="D509" i="3"/>
  <c r="C509" i="3"/>
  <c r="K508" i="3"/>
  <c r="J508" i="3"/>
  <c r="H508" i="3"/>
  <c r="G508" i="3"/>
  <c r="I508" i="3" s="1"/>
  <c r="F508" i="3"/>
  <c r="E508" i="3"/>
  <c r="D508" i="3"/>
  <c r="C508" i="3"/>
  <c r="K507" i="3"/>
  <c r="J507" i="3"/>
  <c r="H507" i="3"/>
  <c r="G507" i="3"/>
  <c r="I507" i="3" s="1"/>
  <c r="F507" i="3"/>
  <c r="E507" i="3"/>
  <c r="D507" i="3"/>
  <c r="C507" i="3"/>
  <c r="K506" i="3"/>
  <c r="J506" i="3"/>
  <c r="H506" i="3"/>
  <c r="G506" i="3"/>
  <c r="I506" i="3" s="1"/>
  <c r="F506" i="3"/>
  <c r="E506" i="3"/>
  <c r="D506" i="3"/>
  <c r="C506" i="3"/>
  <c r="K505" i="3"/>
  <c r="J505" i="3"/>
  <c r="H505" i="3"/>
  <c r="G505" i="3"/>
  <c r="I505" i="3" s="1"/>
  <c r="F505" i="3"/>
  <c r="E505" i="3"/>
  <c r="D505" i="3"/>
  <c r="C505" i="3"/>
  <c r="K504" i="3"/>
  <c r="J504" i="3"/>
  <c r="H504" i="3"/>
  <c r="G504" i="3"/>
  <c r="I504" i="3" s="1"/>
  <c r="F504" i="3"/>
  <c r="E504" i="3"/>
  <c r="D504" i="3"/>
  <c r="C504" i="3"/>
  <c r="K503" i="3"/>
  <c r="J503" i="3"/>
  <c r="H503" i="3"/>
  <c r="G503" i="3"/>
  <c r="I503" i="3" s="1"/>
  <c r="F503" i="3"/>
  <c r="E503" i="3"/>
  <c r="D503" i="3"/>
  <c r="C503" i="3"/>
  <c r="K502" i="3"/>
  <c r="J502" i="3"/>
  <c r="H502" i="3"/>
  <c r="G502" i="3"/>
  <c r="I502" i="3" s="1"/>
  <c r="F502" i="3"/>
  <c r="E502" i="3"/>
  <c r="D502" i="3"/>
  <c r="C502" i="3"/>
  <c r="K501" i="3"/>
  <c r="J501" i="3"/>
  <c r="H501" i="3"/>
  <c r="G501" i="3"/>
  <c r="I501" i="3" s="1"/>
  <c r="F501" i="3"/>
  <c r="E501" i="3"/>
  <c r="D501" i="3"/>
  <c r="C501" i="3"/>
  <c r="K500" i="3"/>
  <c r="J500" i="3"/>
  <c r="H500" i="3"/>
  <c r="G500" i="3"/>
  <c r="I500" i="3" s="1"/>
  <c r="F500" i="3"/>
  <c r="E500" i="3"/>
  <c r="D500" i="3"/>
  <c r="C500" i="3"/>
  <c r="K499" i="3"/>
  <c r="J499" i="3"/>
  <c r="H499" i="3"/>
  <c r="G499" i="3"/>
  <c r="I499" i="3" s="1"/>
  <c r="F499" i="3"/>
  <c r="E499" i="3"/>
  <c r="D499" i="3"/>
  <c r="C499" i="3"/>
  <c r="K498" i="3"/>
  <c r="J498" i="3"/>
  <c r="H498" i="3"/>
  <c r="G498" i="3"/>
  <c r="I498" i="3" s="1"/>
  <c r="F498" i="3"/>
  <c r="E498" i="3"/>
  <c r="D498" i="3"/>
  <c r="C498" i="3"/>
  <c r="K497" i="3"/>
  <c r="J497" i="3"/>
  <c r="H497" i="3"/>
  <c r="G497" i="3"/>
  <c r="I497" i="3" s="1"/>
  <c r="F497" i="3"/>
  <c r="E497" i="3"/>
  <c r="D497" i="3"/>
  <c r="C497" i="3"/>
  <c r="K496" i="3"/>
  <c r="J496" i="3"/>
  <c r="H496" i="3"/>
  <c r="G496" i="3"/>
  <c r="I496" i="3" s="1"/>
  <c r="F496" i="3"/>
  <c r="E496" i="3"/>
  <c r="D496" i="3"/>
  <c r="C496" i="3"/>
  <c r="K495" i="3"/>
  <c r="J495" i="3"/>
  <c r="H495" i="3"/>
  <c r="G495" i="3"/>
  <c r="I495" i="3" s="1"/>
  <c r="F495" i="3"/>
  <c r="E495" i="3"/>
  <c r="D495" i="3"/>
  <c r="C495" i="3"/>
  <c r="K494" i="3"/>
  <c r="J494" i="3"/>
  <c r="H494" i="3"/>
  <c r="G494" i="3"/>
  <c r="I494" i="3" s="1"/>
  <c r="F494" i="3"/>
  <c r="E494" i="3"/>
  <c r="D494" i="3"/>
  <c r="C494" i="3"/>
  <c r="K493" i="3"/>
  <c r="J493" i="3"/>
  <c r="H493" i="3"/>
  <c r="G493" i="3"/>
  <c r="I493" i="3" s="1"/>
  <c r="F493" i="3"/>
  <c r="E493" i="3"/>
  <c r="D493" i="3"/>
  <c r="C493" i="3"/>
  <c r="K492" i="3"/>
  <c r="J492" i="3"/>
  <c r="H492" i="3"/>
  <c r="G492" i="3"/>
  <c r="I492" i="3" s="1"/>
  <c r="F492" i="3"/>
  <c r="E492" i="3"/>
  <c r="D492" i="3"/>
  <c r="C492" i="3"/>
  <c r="K491" i="3"/>
  <c r="J491" i="3"/>
  <c r="H491" i="3"/>
  <c r="G491" i="3"/>
  <c r="I491" i="3" s="1"/>
  <c r="F491" i="3"/>
  <c r="E491" i="3"/>
  <c r="D491" i="3"/>
  <c r="C491" i="3"/>
  <c r="K490" i="3"/>
  <c r="J490" i="3"/>
  <c r="H490" i="3"/>
  <c r="G490" i="3"/>
  <c r="I490" i="3" s="1"/>
  <c r="F490" i="3"/>
  <c r="E490" i="3"/>
  <c r="D490" i="3"/>
  <c r="C490" i="3"/>
  <c r="K489" i="3"/>
  <c r="J489" i="3"/>
  <c r="H489" i="3"/>
  <c r="G489" i="3"/>
  <c r="I489" i="3" s="1"/>
  <c r="F489" i="3"/>
  <c r="E489" i="3"/>
  <c r="D489" i="3"/>
  <c r="C489" i="3"/>
  <c r="K488" i="3"/>
  <c r="J488" i="3"/>
  <c r="H488" i="3"/>
  <c r="G488" i="3"/>
  <c r="I488" i="3" s="1"/>
  <c r="F488" i="3"/>
  <c r="E488" i="3"/>
  <c r="D488" i="3"/>
  <c r="C488" i="3"/>
  <c r="K487" i="3"/>
  <c r="J487" i="3"/>
  <c r="H487" i="3"/>
  <c r="G487" i="3"/>
  <c r="I487" i="3" s="1"/>
  <c r="F487" i="3"/>
  <c r="E487" i="3"/>
  <c r="D487" i="3"/>
  <c r="C487" i="3"/>
  <c r="K486" i="3"/>
  <c r="J486" i="3"/>
  <c r="H486" i="3"/>
  <c r="G486" i="3"/>
  <c r="I486" i="3" s="1"/>
  <c r="F486" i="3"/>
  <c r="E486" i="3"/>
  <c r="D486" i="3"/>
  <c r="C486" i="3"/>
  <c r="K485" i="3"/>
  <c r="J485" i="3"/>
  <c r="H485" i="3"/>
  <c r="G485" i="3"/>
  <c r="I485" i="3" s="1"/>
  <c r="F485" i="3"/>
  <c r="E485" i="3"/>
  <c r="D485" i="3"/>
  <c r="C485" i="3"/>
  <c r="K484" i="3"/>
  <c r="J484" i="3"/>
  <c r="H484" i="3"/>
  <c r="G484" i="3"/>
  <c r="I484" i="3" s="1"/>
  <c r="F484" i="3"/>
  <c r="E484" i="3"/>
  <c r="D484" i="3"/>
  <c r="C484" i="3"/>
  <c r="K483" i="3"/>
  <c r="J483" i="3"/>
  <c r="H483" i="3"/>
  <c r="G483" i="3"/>
  <c r="I483" i="3" s="1"/>
  <c r="F483" i="3"/>
  <c r="E483" i="3"/>
  <c r="D483" i="3"/>
  <c r="C483" i="3"/>
  <c r="K482" i="3"/>
  <c r="J482" i="3"/>
  <c r="H482" i="3"/>
  <c r="G482" i="3"/>
  <c r="I482" i="3" s="1"/>
  <c r="F482" i="3"/>
  <c r="E482" i="3"/>
  <c r="D482" i="3"/>
  <c r="C482" i="3"/>
  <c r="K481" i="3"/>
  <c r="J481" i="3"/>
  <c r="H481" i="3"/>
  <c r="G481" i="3"/>
  <c r="I481" i="3" s="1"/>
  <c r="F481" i="3"/>
  <c r="E481" i="3"/>
  <c r="D481" i="3"/>
  <c r="C481" i="3"/>
  <c r="K480" i="3"/>
  <c r="J480" i="3"/>
  <c r="H480" i="3"/>
  <c r="G480" i="3"/>
  <c r="I480" i="3" s="1"/>
  <c r="F480" i="3"/>
  <c r="E480" i="3"/>
  <c r="D480" i="3"/>
  <c r="C480" i="3"/>
  <c r="K479" i="3"/>
  <c r="J479" i="3"/>
  <c r="H479" i="3"/>
  <c r="G479" i="3"/>
  <c r="I479" i="3" s="1"/>
  <c r="F479" i="3"/>
  <c r="E479" i="3"/>
  <c r="D479" i="3"/>
  <c r="C479" i="3"/>
  <c r="K478" i="3"/>
  <c r="J478" i="3"/>
  <c r="H478" i="3"/>
  <c r="G478" i="3"/>
  <c r="I478" i="3" s="1"/>
  <c r="F478" i="3"/>
  <c r="E478" i="3"/>
  <c r="D478" i="3"/>
  <c r="C478" i="3"/>
  <c r="K477" i="3"/>
  <c r="J477" i="3"/>
  <c r="H477" i="3"/>
  <c r="G477" i="3"/>
  <c r="I477" i="3" s="1"/>
  <c r="F477" i="3"/>
  <c r="E477" i="3"/>
  <c r="D477" i="3"/>
  <c r="C477" i="3"/>
  <c r="K476" i="3"/>
  <c r="J476" i="3"/>
  <c r="H476" i="3"/>
  <c r="G476" i="3"/>
  <c r="I476" i="3" s="1"/>
  <c r="F476" i="3"/>
  <c r="E476" i="3"/>
  <c r="D476" i="3"/>
  <c r="C476" i="3"/>
  <c r="K475" i="3"/>
  <c r="J475" i="3"/>
  <c r="H475" i="3"/>
  <c r="G475" i="3"/>
  <c r="I475" i="3" s="1"/>
  <c r="F475" i="3"/>
  <c r="E475" i="3"/>
  <c r="D475" i="3"/>
  <c r="C475" i="3"/>
  <c r="K474" i="3"/>
  <c r="J474" i="3"/>
  <c r="H474" i="3"/>
  <c r="G474" i="3"/>
  <c r="I474" i="3" s="1"/>
  <c r="F474" i="3"/>
  <c r="E474" i="3"/>
  <c r="D474" i="3"/>
  <c r="C474" i="3"/>
  <c r="K473" i="3"/>
  <c r="J473" i="3"/>
  <c r="H473" i="3"/>
  <c r="G473" i="3"/>
  <c r="I473" i="3" s="1"/>
  <c r="F473" i="3"/>
  <c r="E473" i="3"/>
  <c r="D473" i="3"/>
  <c r="C473" i="3"/>
  <c r="K472" i="3"/>
  <c r="J472" i="3"/>
  <c r="H472" i="3"/>
  <c r="G472" i="3"/>
  <c r="I472" i="3" s="1"/>
  <c r="F472" i="3"/>
  <c r="E472" i="3"/>
  <c r="D472" i="3"/>
  <c r="C472" i="3"/>
  <c r="K471" i="3"/>
  <c r="J471" i="3"/>
  <c r="H471" i="3"/>
  <c r="G471" i="3"/>
  <c r="I471" i="3" s="1"/>
  <c r="F471" i="3"/>
  <c r="E471" i="3"/>
  <c r="D471" i="3"/>
  <c r="C471" i="3"/>
  <c r="K470" i="3"/>
  <c r="J470" i="3"/>
  <c r="H470" i="3"/>
  <c r="G470" i="3"/>
  <c r="I470" i="3" s="1"/>
  <c r="F470" i="3"/>
  <c r="E470" i="3"/>
  <c r="D470" i="3"/>
  <c r="C470" i="3"/>
  <c r="K469" i="3"/>
  <c r="J469" i="3"/>
  <c r="H469" i="3"/>
  <c r="G469" i="3"/>
  <c r="I469" i="3" s="1"/>
  <c r="F469" i="3"/>
  <c r="E469" i="3"/>
  <c r="D469" i="3"/>
  <c r="C469" i="3"/>
  <c r="K468" i="3"/>
  <c r="J468" i="3"/>
  <c r="H468" i="3"/>
  <c r="G468" i="3"/>
  <c r="I468" i="3" s="1"/>
  <c r="F468" i="3"/>
  <c r="E468" i="3"/>
  <c r="D468" i="3"/>
  <c r="C468" i="3"/>
  <c r="K467" i="3"/>
  <c r="J467" i="3"/>
  <c r="H467" i="3"/>
  <c r="G467" i="3"/>
  <c r="I467" i="3" s="1"/>
  <c r="F467" i="3"/>
  <c r="E467" i="3"/>
  <c r="D467" i="3"/>
  <c r="C467" i="3"/>
  <c r="K466" i="3"/>
  <c r="J466" i="3"/>
  <c r="H466" i="3"/>
  <c r="G466" i="3"/>
  <c r="I466" i="3" s="1"/>
  <c r="F466" i="3"/>
  <c r="E466" i="3"/>
  <c r="D466" i="3"/>
  <c r="C466" i="3"/>
  <c r="K465" i="3"/>
  <c r="J465" i="3"/>
  <c r="H465" i="3"/>
  <c r="G465" i="3"/>
  <c r="I465" i="3" s="1"/>
  <c r="F465" i="3"/>
  <c r="E465" i="3"/>
  <c r="D465" i="3"/>
  <c r="C465" i="3"/>
  <c r="K464" i="3"/>
  <c r="J464" i="3"/>
  <c r="H464" i="3"/>
  <c r="G464" i="3"/>
  <c r="I464" i="3" s="1"/>
  <c r="F464" i="3"/>
  <c r="E464" i="3"/>
  <c r="D464" i="3"/>
  <c r="C464" i="3"/>
  <c r="K463" i="3"/>
  <c r="J463" i="3"/>
  <c r="H463" i="3"/>
  <c r="G463" i="3"/>
  <c r="I463" i="3" s="1"/>
  <c r="F463" i="3"/>
  <c r="E463" i="3"/>
  <c r="D463" i="3"/>
  <c r="C463" i="3"/>
  <c r="K462" i="3"/>
  <c r="J462" i="3"/>
  <c r="H462" i="3"/>
  <c r="G462" i="3"/>
  <c r="I462" i="3" s="1"/>
  <c r="F462" i="3"/>
  <c r="E462" i="3"/>
  <c r="D462" i="3"/>
  <c r="C462" i="3"/>
  <c r="K461" i="3"/>
  <c r="J461" i="3"/>
  <c r="H461" i="3"/>
  <c r="G461" i="3"/>
  <c r="I461" i="3" s="1"/>
  <c r="F461" i="3"/>
  <c r="E461" i="3"/>
  <c r="D461" i="3"/>
  <c r="C461" i="3"/>
  <c r="K460" i="3"/>
  <c r="J460" i="3"/>
  <c r="H460" i="3"/>
  <c r="G460" i="3"/>
  <c r="I460" i="3" s="1"/>
  <c r="F460" i="3"/>
  <c r="E460" i="3"/>
  <c r="D460" i="3"/>
  <c r="C460" i="3"/>
  <c r="K459" i="3"/>
  <c r="J459" i="3"/>
  <c r="H459" i="3"/>
  <c r="G459" i="3"/>
  <c r="I459" i="3" s="1"/>
  <c r="F459" i="3"/>
  <c r="E459" i="3"/>
  <c r="D459" i="3"/>
  <c r="C459" i="3"/>
  <c r="K458" i="3"/>
  <c r="J458" i="3"/>
  <c r="H458" i="3"/>
  <c r="G458" i="3"/>
  <c r="I458" i="3" s="1"/>
  <c r="F458" i="3"/>
  <c r="E458" i="3"/>
  <c r="D458" i="3"/>
  <c r="C458" i="3"/>
  <c r="K457" i="3"/>
  <c r="J457" i="3"/>
  <c r="H457" i="3"/>
  <c r="G457" i="3"/>
  <c r="I457" i="3" s="1"/>
  <c r="F457" i="3"/>
  <c r="E457" i="3"/>
  <c r="D457" i="3"/>
  <c r="C457" i="3"/>
  <c r="K456" i="3"/>
  <c r="J456" i="3"/>
  <c r="H456" i="3"/>
  <c r="G456" i="3"/>
  <c r="I456" i="3" s="1"/>
  <c r="F456" i="3"/>
  <c r="E456" i="3"/>
  <c r="D456" i="3"/>
  <c r="C456" i="3"/>
  <c r="K455" i="3"/>
  <c r="J455" i="3"/>
  <c r="H455" i="3"/>
  <c r="G455" i="3"/>
  <c r="I455" i="3" s="1"/>
  <c r="F455" i="3"/>
  <c r="E455" i="3"/>
  <c r="D455" i="3"/>
  <c r="C455" i="3"/>
  <c r="K454" i="3"/>
  <c r="J454" i="3"/>
  <c r="H454" i="3"/>
  <c r="G454" i="3"/>
  <c r="I454" i="3" s="1"/>
  <c r="F454" i="3"/>
  <c r="E454" i="3"/>
  <c r="D454" i="3"/>
  <c r="C454" i="3"/>
  <c r="K453" i="3"/>
  <c r="J453" i="3"/>
  <c r="H453" i="3"/>
  <c r="G453" i="3"/>
  <c r="I453" i="3" s="1"/>
  <c r="F453" i="3"/>
  <c r="E453" i="3"/>
  <c r="D453" i="3"/>
  <c r="C453" i="3"/>
  <c r="K452" i="3"/>
  <c r="J452" i="3"/>
  <c r="H452" i="3"/>
  <c r="G452" i="3"/>
  <c r="I452" i="3" s="1"/>
  <c r="F452" i="3"/>
  <c r="E452" i="3"/>
  <c r="D452" i="3"/>
  <c r="C452" i="3"/>
  <c r="K451" i="3"/>
  <c r="J451" i="3"/>
  <c r="H451" i="3"/>
  <c r="G451" i="3"/>
  <c r="I451" i="3" s="1"/>
  <c r="F451" i="3"/>
  <c r="E451" i="3"/>
  <c r="D451" i="3"/>
  <c r="C451" i="3"/>
  <c r="K450" i="3"/>
  <c r="J450" i="3"/>
  <c r="H450" i="3"/>
  <c r="G450" i="3"/>
  <c r="I450" i="3" s="1"/>
  <c r="F450" i="3"/>
  <c r="E450" i="3"/>
  <c r="D450" i="3"/>
  <c r="C450" i="3"/>
  <c r="K449" i="3"/>
  <c r="J449" i="3"/>
  <c r="H449" i="3"/>
  <c r="G449" i="3"/>
  <c r="I449" i="3" s="1"/>
  <c r="F449" i="3"/>
  <c r="E449" i="3"/>
  <c r="D449" i="3"/>
  <c r="C449" i="3"/>
  <c r="K448" i="3"/>
  <c r="J448" i="3"/>
  <c r="H448" i="3"/>
  <c r="G448" i="3"/>
  <c r="I448" i="3" s="1"/>
  <c r="F448" i="3"/>
  <c r="E448" i="3"/>
  <c r="D448" i="3"/>
  <c r="C448" i="3"/>
  <c r="K447" i="3"/>
  <c r="J447" i="3"/>
  <c r="H447" i="3"/>
  <c r="G447" i="3"/>
  <c r="I447" i="3" s="1"/>
  <c r="F447" i="3"/>
  <c r="E447" i="3"/>
  <c r="D447" i="3"/>
  <c r="C447" i="3"/>
  <c r="K446" i="3"/>
  <c r="J446" i="3"/>
  <c r="H446" i="3"/>
  <c r="G446" i="3"/>
  <c r="I446" i="3" s="1"/>
  <c r="F446" i="3"/>
  <c r="E446" i="3"/>
  <c r="D446" i="3"/>
  <c r="C446" i="3"/>
  <c r="K445" i="3"/>
  <c r="J445" i="3"/>
  <c r="H445" i="3"/>
  <c r="G445" i="3"/>
  <c r="I445" i="3" s="1"/>
  <c r="F445" i="3"/>
  <c r="E445" i="3"/>
  <c r="D445" i="3"/>
  <c r="C445" i="3"/>
  <c r="K444" i="3"/>
  <c r="J444" i="3"/>
  <c r="H444" i="3"/>
  <c r="G444" i="3"/>
  <c r="I444" i="3" s="1"/>
  <c r="F444" i="3"/>
  <c r="E444" i="3"/>
  <c r="D444" i="3"/>
  <c r="C444" i="3"/>
  <c r="K443" i="3"/>
  <c r="J443" i="3"/>
  <c r="H443" i="3"/>
  <c r="G443" i="3"/>
  <c r="I443" i="3" s="1"/>
  <c r="F443" i="3"/>
  <c r="E443" i="3"/>
  <c r="D443" i="3"/>
  <c r="C443" i="3"/>
  <c r="K442" i="3"/>
  <c r="J442" i="3"/>
  <c r="H442" i="3"/>
  <c r="G442" i="3"/>
  <c r="I442" i="3" s="1"/>
  <c r="F442" i="3"/>
  <c r="E442" i="3"/>
  <c r="D442" i="3"/>
  <c r="C442" i="3"/>
  <c r="K441" i="3"/>
  <c r="J441" i="3"/>
  <c r="H441" i="3"/>
  <c r="G441" i="3"/>
  <c r="I441" i="3" s="1"/>
  <c r="F441" i="3"/>
  <c r="E441" i="3"/>
  <c r="D441" i="3"/>
  <c r="C441" i="3"/>
  <c r="K440" i="3"/>
  <c r="J440" i="3"/>
  <c r="H440" i="3"/>
  <c r="G440" i="3"/>
  <c r="I440" i="3" s="1"/>
  <c r="F440" i="3"/>
  <c r="E440" i="3"/>
  <c r="D440" i="3"/>
  <c r="C440" i="3"/>
  <c r="K439" i="3"/>
  <c r="J439" i="3"/>
  <c r="H439" i="3"/>
  <c r="G439" i="3"/>
  <c r="I439" i="3" s="1"/>
  <c r="F439" i="3"/>
  <c r="E439" i="3"/>
  <c r="D439" i="3"/>
  <c r="C439" i="3"/>
  <c r="K438" i="3"/>
  <c r="J438" i="3"/>
  <c r="H438" i="3"/>
  <c r="G438" i="3"/>
  <c r="I438" i="3" s="1"/>
  <c r="F438" i="3"/>
  <c r="E438" i="3"/>
  <c r="D438" i="3"/>
  <c r="C438" i="3"/>
  <c r="K437" i="3"/>
  <c r="J437" i="3"/>
  <c r="H437" i="3"/>
  <c r="G437" i="3"/>
  <c r="I437" i="3" s="1"/>
  <c r="F437" i="3"/>
  <c r="E437" i="3"/>
  <c r="D437" i="3"/>
  <c r="C437" i="3"/>
  <c r="K436" i="3"/>
  <c r="J436" i="3"/>
  <c r="H436" i="3"/>
  <c r="G436" i="3"/>
  <c r="I436" i="3" s="1"/>
  <c r="F436" i="3"/>
  <c r="E436" i="3"/>
  <c r="D436" i="3"/>
  <c r="C436" i="3"/>
  <c r="K435" i="3"/>
  <c r="J435" i="3"/>
  <c r="H435" i="3"/>
  <c r="G435" i="3"/>
  <c r="I435" i="3" s="1"/>
  <c r="F435" i="3"/>
  <c r="E435" i="3"/>
  <c r="D435" i="3"/>
  <c r="C435" i="3"/>
  <c r="K434" i="3"/>
  <c r="J434" i="3"/>
  <c r="H434" i="3"/>
  <c r="G434" i="3"/>
  <c r="I434" i="3" s="1"/>
  <c r="F434" i="3"/>
  <c r="E434" i="3"/>
  <c r="D434" i="3"/>
  <c r="C434" i="3"/>
  <c r="K433" i="3"/>
  <c r="J433" i="3"/>
  <c r="H433" i="3"/>
  <c r="G433" i="3"/>
  <c r="I433" i="3" s="1"/>
  <c r="F433" i="3"/>
  <c r="E433" i="3"/>
  <c r="D433" i="3"/>
  <c r="C433" i="3"/>
  <c r="K432" i="3"/>
  <c r="J432" i="3"/>
  <c r="H432" i="3"/>
  <c r="G432" i="3"/>
  <c r="I432" i="3" s="1"/>
  <c r="F432" i="3"/>
  <c r="E432" i="3"/>
  <c r="D432" i="3"/>
  <c r="C432" i="3"/>
  <c r="K431" i="3"/>
  <c r="J431" i="3"/>
  <c r="H431" i="3"/>
  <c r="G431" i="3"/>
  <c r="I431" i="3" s="1"/>
  <c r="F431" i="3"/>
  <c r="E431" i="3"/>
  <c r="D431" i="3"/>
  <c r="C431" i="3"/>
  <c r="K430" i="3"/>
  <c r="J430" i="3"/>
  <c r="H430" i="3"/>
  <c r="G430" i="3"/>
  <c r="I430" i="3" s="1"/>
  <c r="F430" i="3"/>
  <c r="E430" i="3"/>
  <c r="D430" i="3"/>
  <c r="C430" i="3"/>
  <c r="K429" i="3"/>
  <c r="J429" i="3"/>
  <c r="H429" i="3"/>
  <c r="G429" i="3"/>
  <c r="I429" i="3" s="1"/>
  <c r="F429" i="3"/>
  <c r="E429" i="3"/>
  <c r="D429" i="3"/>
  <c r="C429" i="3"/>
  <c r="K428" i="3"/>
  <c r="J428" i="3"/>
  <c r="H428" i="3"/>
  <c r="G428" i="3"/>
  <c r="I428" i="3" s="1"/>
  <c r="F428" i="3"/>
  <c r="E428" i="3"/>
  <c r="D428" i="3"/>
  <c r="C428" i="3"/>
  <c r="K427" i="3"/>
  <c r="J427" i="3"/>
  <c r="H427" i="3"/>
  <c r="G427" i="3"/>
  <c r="I427" i="3" s="1"/>
  <c r="F427" i="3"/>
  <c r="E427" i="3"/>
  <c r="D427" i="3"/>
  <c r="C427" i="3"/>
  <c r="K426" i="3"/>
  <c r="J426" i="3"/>
  <c r="H426" i="3"/>
  <c r="G426" i="3"/>
  <c r="I426" i="3" s="1"/>
  <c r="F426" i="3"/>
  <c r="E426" i="3"/>
  <c r="D426" i="3"/>
  <c r="C426" i="3"/>
  <c r="K425" i="3"/>
  <c r="J425" i="3"/>
  <c r="H425" i="3"/>
  <c r="G425" i="3"/>
  <c r="I425" i="3" s="1"/>
  <c r="F425" i="3"/>
  <c r="E425" i="3"/>
  <c r="D425" i="3"/>
  <c r="C425" i="3"/>
  <c r="K424" i="3"/>
  <c r="J424" i="3"/>
  <c r="H424" i="3"/>
  <c r="G424" i="3"/>
  <c r="I424" i="3" s="1"/>
  <c r="F424" i="3"/>
  <c r="E424" i="3"/>
  <c r="D424" i="3"/>
  <c r="C424" i="3"/>
  <c r="K423" i="3"/>
  <c r="J423" i="3"/>
  <c r="H423" i="3"/>
  <c r="G423" i="3"/>
  <c r="I423" i="3" s="1"/>
  <c r="F423" i="3"/>
  <c r="E423" i="3"/>
  <c r="D423" i="3"/>
  <c r="C423" i="3"/>
  <c r="K422" i="3"/>
  <c r="J422" i="3"/>
  <c r="H422" i="3"/>
  <c r="G422" i="3"/>
  <c r="I422" i="3" s="1"/>
  <c r="F422" i="3"/>
  <c r="E422" i="3"/>
  <c r="D422" i="3"/>
  <c r="C422" i="3"/>
  <c r="K421" i="3"/>
  <c r="J421" i="3"/>
  <c r="H421" i="3"/>
  <c r="G421" i="3"/>
  <c r="I421" i="3" s="1"/>
  <c r="F421" i="3"/>
  <c r="E421" i="3"/>
  <c r="D421" i="3"/>
  <c r="C421" i="3"/>
  <c r="K420" i="3"/>
  <c r="J420" i="3"/>
  <c r="H420" i="3"/>
  <c r="G420" i="3"/>
  <c r="I420" i="3" s="1"/>
  <c r="F420" i="3"/>
  <c r="E420" i="3"/>
  <c r="D420" i="3"/>
  <c r="C420" i="3"/>
  <c r="K419" i="3"/>
  <c r="J419" i="3"/>
  <c r="H419" i="3"/>
  <c r="G419" i="3"/>
  <c r="I419" i="3" s="1"/>
  <c r="F419" i="3"/>
  <c r="E419" i="3"/>
  <c r="D419" i="3"/>
  <c r="C419" i="3"/>
  <c r="K418" i="3"/>
  <c r="J418" i="3"/>
  <c r="H418" i="3"/>
  <c r="G418" i="3"/>
  <c r="I418" i="3" s="1"/>
  <c r="F418" i="3"/>
  <c r="E418" i="3"/>
  <c r="D418" i="3"/>
  <c r="C418" i="3"/>
  <c r="K417" i="3"/>
  <c r="J417" i="3"/>
  <c r="H417" i="3"/>
  <c r="G417" i="3"/>
  <c r="I417" i="3" s="1"/>
  <c r="F417" i="3"/>
  <c r="E417" i="3"/>
  <c r="D417" i="3"/>
  <c r="C417" i="3"/>
  <c r="K416" i="3"/>
  <c r="J416" i="3"/>
  <c r="H416" i="3"/>
  <c r="G416" i="3"/>
  <c r="I416" i="3" s="1"/>
  <c r="F416" i="3"/>
  <c r="E416" i="3"/>
  <c r="D416" i="3"/>
  <c r="C416" i="3"/>
  <c r="K415" i="3"/>
  <c r="J415" i="3"/>
  <c r="H415" i="3"/>
  <c r="G415" i="3"/>
  <c r="I415" i="3" s="1"/>
  <c r="F415" i="3"/>
  <c r="E415" i="3"/>
  <c r="D415" i="3"/>
  <c r="C415" i="3"/>
  <c r="K414" i="3"/>
  <c r="J414" i="3"/>
  <c r="H414" i="3"/>
  <c r="G414" i="3"/>
  <c r="I414" i="3" s="1"/>
  <c r="F414" i="3"/>
  <c r="E414" i="3"/>
  <c r="D414" i="3"/>
  <c r="C414" i="3"/>
  <c r="K413" i="3"/>
  <c r="J413" i="3"/>
  <c r="H413" i="3"/>
  <c r="G413" i="3"/>
  <c r="I413" i="3" s="1"/>
  <c r="F413" i="3"/>
  <c r="E413" i="3"/>
  <c r="D413" i="3"/>
  <c r="C413" i="3"/>
  <c r="K412" i="3"/>
  <c r="J412" i="3"/>
  <c r="H412" i="3"/>
  <c r="G412" i="3"/>
  <c r="I412" i="3" s="1"/>
  <c r="F412" i="3"/>
  <c r="E412" i="3"/>
  <c r="D412" i="3"/>
  <c r="C412" i="3"/>
  <c r="K411" i="3"/>
  <c r="J411" i="3"/>
  <c r="H411" i="3"/>
  <c r="G411" i="3"/>
  <c r="I411" i="3" s="1"/>
  <c r="F411" i="3"/>
  <c r="E411" i="3"/>
  <c r="D411" i="3"/>
  <c r="C411" i="3"/>
  <c r="K410" i="3"/>
  <c r="J410" i="3"/>
  <c r="H410" i="3"/>
  <c r="G410" i="3"/>
  <c r="I410" i="3" s="1"/>
  <c r="F410" i="3"/>
  <c r="E410" i="3"/>
  <c r="D410" i="3"/>
  <c r="C410" i="3"/>
  <c r="K409" i="3"/>
  <c r="J409" i="3"/>
  <c r="H409" i="3"/>
  <c r="G409" i="3"/>
  <c r="I409" i="3" s="1"/>
  <c r="F409" i="3"/>
  <c r="E409" i="3"/>
  <c r="D409" i="3"/>
  <c r="C409" i="3"/>
  <c r="K408" i="3"/>
  <c r="J408" i="3"/>
  <c r="H408" i="3"/>
  <c r="G408" i="3"/>
  <c r="I408" i="3" s="1"/>
  <c r="F408" i="3"/>
  <c r="E408" i="3"/>
  <c r="D408" i="3"/>
  <c r="C408" i="3"/>
  <c r="K407" i="3"/>
  <c r="J407" i="3"/>
  <c r="H407" i="3"/>
  <c r="G407" i="3"/>
  <c r="I407" i="3" s="1"/>
  <c r="F407" i="3"/>
  <c r="E407" i="3"/>
  <c r="D407" i="3"/>
  <c r="C407" i="3"/>
  <c r="K406" i="3"/>
  <c r="J406" i="3"/>
  <c r="H406" i="3"/>
  <c r="G406" i="3"/>
  <c r="I406" i="3" s="1"/>
  <c r="F406" i="3"/>
  <c r="E406" i="3"/>
  <c r="D406" i="3"/>
  <c r="C406" i="3"/>
  <c r="K405" i="3"/>
  <c r="J405" i="3"/>
  <c r="H405" i="3"/>
  <c r="G405" i="3"/>
  <c r="I405" i="3" s="1"/>
  <c r="F405" i="3"/>
  <c r="E405" i="3"/>
  <c r="D405" i="3"/>
  <c r="C405" i="3"/>
  <c r="K404" i="3"/>
  <c r="J404" i="3"/>
  <c r="H404" i="3"/>
  <c r="G404" i="3"/>
  <c r="I404" i="3" s="1"/>
  <c r="F404" i="3"/>
  <c r="E404" i="3"/>
  <c r="D404" i="3"/>
  <c r="C404" i="3"/>
  <c r="K403" i="3"/>
  <c r="J403" i="3"/>
  <c r="H403" i="3"/>
  <c r="G403" i="3"/>
  <c r="I403" i="3" s="1"/>
  <c r="F403" i="3"/>
  <c r="E403" i="3"/>
  <c r="D403" i="3"/>
  <c r="C403" i="3"/>
  <c r="K402" i="3"/>
  <c r="J402" i="3"/>
  <c r="H402" i="3"/>
  <c r="G402" i="3"/>
  <c r="I402" i="3" s="1"/>
  <c r="F402" i="3"/>
  <c r="E402" i="3"/>
  <c r="D402" i="3"/>
  <c r="C402" i="3"/>
  <c r="K401" i="3"/>
  <c r="J401" i="3"/>
  <c r="H401" i="3"/>
  <c r="G401" i="3"/>
  <c r="I401" i="3" s="1"/>
  <c r="F401" i="3"/>
  <c r="E401" i="3"/>
  <c r="D401" i="3"/>
  <c r="C401" i="3"/>
  <c r="K400" i="3"/>
  <c r="J400" i="3"/>
  <c r="H400" i="3"/>
  <c r="G400" i="3"/>
  <c r="I400" i="3" s="1"/>
  <c r="F400" i="3"/>
  <c r="E400" i="3"/>
  <c r="D400" i="3"/>
  <c r="C400" i="3"/>
  <c r="K399" i="3"/>
  <c r="J399" i="3"/>
  <c r="H399" i="3"/>
  <c r="G399" i="3"/>
  <c r="I399" i="3" s="1"/>
  <c r="F399" i="3"/>
  <c r="E399" i="3"/>
  <c r="D399" i="3"/>
  <c r="C399" i="3"/>
  <c r="K398" i="3"/>
  <c r="J398" i="3"/>
  <c r="H398" i="3"/>
  <c r="G398" i="3"/>
  <c r="I398" i="3" s="1"/>
  <c r="F398" i="3"/>
  <c r="E398" i="3"/>
  <c r="D398" i="3"/>
  <c r="C398" i="3"/>
  <c r="K397" i="3"/>
  <c r="J397" i="3"/>
  <c r="H397" i="3"/>
  <c r="G397" i="3"/>
  <c r="I397" i="3" s="1"/>
  <c r="F397" i="3"/>
  <c r="E397" i="3"/>
  <c r="D397" i="3"/>
  <c r="C397" i="3"/>
  <c r="K396" i="3"/>
  <c r="J396" i="3"/>
  <c r="H396" i="3"/>
  <c r="G396" i="3"/>
  <c r="I396" i="3" s="1"/>
  <c r="F396" i="3"/>
  <c r="E396" i="3"/>
  <c r="D396" i="3"/>
  <c r="C396" i="3"/>
  <c r="K395" i="3"/>
  <c r="J395" i="3"/>
  <c r="H395" i="3"/>
  <c r="G395" i="3"/>
  <c r="I395" i="3" s="1"/>
  <c r="F395" i="3"/>
  <c r="E395" i="3"/>
  <c r="D395" i="3"/>
  <c r="C395" i="3"/>
  <c r="K394" i="3"/>
  <c r="J394" i="3"/>
  <c r="H394" i="3"/>
  <c r="G394" i="3"/>
  <c r="I394" i="3" s="1"/>
  <c r="F394" i="3"/>
  <c r="E394" i="3"/>
  <c r="D394" i="3"/>
  <c r="C394" i="3"/>
  <c r="K393" i="3"/>
  <c r="J393" i="3"/>
  <c r="H393" i="3"/>
  <c r="G393" i="3"/>
  <c r="I393" i="3" s="1"/>
  <c r="F393" i="3"/>
  <c r="E393" i="3"/>
  <c r="D393" i="3"/>
  <c r="C393" i="3"/>
  <c r="K392" i="3"/>
  <c r="J392" i="3"/>
  <c r="H392" i="3"/>
  <c r="G392" i="3"/>
  <c r="I392" i="3" s="1"/>
  <c r="F392" i="3"/>
  <c r="E392" i="3"/>
  <c r="D392" i="3"/>
  <c r="C392" i="3"/>
  <c r="K391" i="3"/>
  <c r="J391" i="3"/>
  <c r="H391" i="3"/>
  <c r="G391" i="3"/>
  <c r="I391" i="3" s="1"/>
  <c r="F391" i="3"/>
  <c r="E391" i="3"/>
  <c r="D391" i="3"/>
  <c r="C391" i="3"/>
  <c r="K390" i="3"/>
  <c r="J390" i="3"/>
  <c r="H390" i="3"/>
  <c r="G390" i="3"/>
  <c r="I390" i="3" s="1"/>
  <c r="F390" i="3"/>
  <c r="E390" i="3"/>
  <c r="D390" i="3"/>
  <c r="C390" i="3"/>
  <c r="K389" i="3"/>
  <c r="J389" i="3"/>
  <c r="H389" i="3"/>
  <c r="G389" i="3"/>
  <c r="I389" i="3" s="1"/>
  <c r="F389" i="3"/>
  <c r="E389" i="3"/>
  <c r="D389" i="3"/>
  <c r="C389" i="3"/>
  <c r="K388" i="3"/>
  <c r="J388" i="3"/>
  <c r="H388" i="3"/>
  <c r="G388" i="3"/>
  <c r="I388" i="3" s="1"/>
  <c r="F388" i="3"/>
  <c r="E388" i="3"/>
  <c r="D388" i="3"/>
  <c r="C388" i="3"/>
  <c r="K387" i="3"/>
  <c r="J387" i="3"/>
  <c r="H387" i="3"/>
  <c r="G387" i="3"/>
  <c r="I387" i="3" s="1"/>
  <c r="F387" i="3"/>
  <c r="E387" i="3"/>
  <c r="D387" i="3"/>
  <c r="C387" i="3"/>
  <c r="K386" i="3"/>
  <c r="J386" i="3"/>
  <c r="H386" i="3"/>
  <c r="G386" i="3"/>
  <c r="I386" i="3" s="1"/>
  <c r="F386" i="3"/>
  <c r="E386" i="3"/>
  <c r="D386" i="3"/>
  <c r="C386" i="3"/>
  <c r="K385" i="3"/>
  <c r="J385" i="3"/>
  <c r="H385" i="3"/>
  <c r="G385" i="3"/>
  <c r="I385" i="3" s="1"/>
  <c r="F385" i="3"/>
  <c r="E385" i="3"/>
  <c r="D385" i="3"/>
  <c r="C385" i="3"/>
  <c r="K384" i="3"/>
  <c r="J384" i="3"/>
  <c r="H384" i="3"/>
  <c r="G384" i="3"/>
  <c r="I384" i="3" s="1"/>
  <c r="F384" i="3"/>
  <c r="E384" i="3"/>
  <c r="D384" i="3"/>
  <c r="C384" i="3"/>
  <c r="K383" i="3"/>
  <c r="J383" i="3"/>
  <c r="H383" i="3"/>
  <c r="G383" i="3"/>
  <c r="I383" i="3" s="1"/>
  <c r="F383" i="3"/>
  <c r="E383" i="3"/>
  <c r="D383" i="3"/>
  <c r="C383" i="3"/>
  <c r="K382" i="3"/>
  <c r="J382" i="3"/>
  <c r="H382" i="3"/>
  <c r="G382" i="3"/>
  <c r="I382" i="3" s="1"/>
  <c r="F382" i="3"/>
  <c r="E382" i="3"/>
  <c r="D382" i="3"/>
  <c r="C382" i="3"/>
  <c r="K381" i="3"/>
  <c r="J381" i="3"/>
  <c r="H381" i="3"/>
  <c r="G381" i="3"/>
  <c r="I381" i="3" s="1"/>
  <c r="F381" i="3"/>
  <c r="E381" i="3"/>
  <c r="D381" i="3"/>
  <c r="C381" i="3"/>
  <c r="K380" i="3"/>
  <c r="J380" i="3"/>
  <c r="H380" i="3"/>
  <c r="G380" i="3"/>
  <c r="I380" i="3" s="1"/>
  <c r="F380" i="3"/>
  <c r="E380" i="3"/>
  <c r="D380" i="3"/>
  <c r="C380" i="3"/>
  <c r="K379" i="3"/>
  <c r="J379" i="3"/>
  <c r="H379" i="3"/>
  <c r="G379" i="3"/>
  <c r="I379" i="3" s="1"/>
  <c r="F379" i="3"/>
  <c r="E379" i="3"/>
  <c r="D379" i="3"/>
  <c r="C379" i="3"/>
  <c r="K378" i="3"/>
  <c r="J378" i="3"/>
  <c r="H378" i="3"/>
  <c r="G378" i="3"/>
  <c r="I378" i="3" s="1"/>
  <c r="F378" i="3"/>
  <c r="E378" i="3"/>
  <c r="D378" i="3"/>
  <c r="C378" i="3"/>
  <c r="K377" i="3"/>
  <c r="J377" i="3"/>
  <c r="H377" i="3"/>
  <c r="G377" i="3"/>
  <c r="I377" i="3" s="1"/>
  <c r="F377" i="3"/>
  <c r="E377" i="3"/>
  <c r="D377" i="3"/>
  <c r="C377" i="3"/>
  <c r="K376" i="3"/>
  <c r="J376" i="3"/>
  <c r="H376" i="3"/>
  <c r="G376" i="3"/>
  <c r="F376" i="3"/>
  <c r="E376" i="3"/>
  <c r="D376" i="3"/>
  <c r="C376" i="3"/>
  <c r="K375" i="3"/>
  <c r="J375" i="3"/>
  <c r="H375" i="3"/>
  <c r="G375" i="3"/>
  <c r="F375" i="3"/>
  <c r="E375" i="3"/>
  <c r="D375" i="3"/>
  <c r="C375" i="3"/>
  <c r="K374" i="3"/>
  <c r="J374" i="3"/>
  <c r="H374" i="3"/>
  <c r="G374" i="3"/>
  <c r="F374" i="3"/>
  <c r="E374" i="3"/>
  <c r="D374" i="3"/>
  <c r="C374" i="3"/>
  <c r="K373" i="3"/>
  <c r="J373" i="3"/>
  <c r="H373" i="3"/>
  <c r="G373" i="3"/>
  <c r="F373" i="3"/>
  <c r="E373" i="3"/>
  <c r="D373" i="3"/>
  <c r="C373" i="3"/>
  <c r="K372" i="3"/>
  <c r="J372" i="3"/>
  <c r="H372" i="3"/>
  <c r="G372" i="3"/>
  <c r="F372" i="3"/>
  <c r="E372" i="3"/>
  <c r="D372" i="3"/>
  <c r="C372" i="3"/>
  <c r="K371" i="3"/>
  <c r="J371" i="3"/>
  <c r="H371" i="3"/>
  <c r="G371" i="3"/>
  <c r="F371" i="3"/>
  <c r="E371" i="3"/>
  <c r="D371" i="3"/>
  <c r="C371" i="3"/>
  <c r="K370" i="3"/>
  <c r="J370" i="3"/>
  <c r="H370" i="3"/>
  <c r="G370" i="3"/>
  <c r="F370" i="3"/>
  <c r="E370" i="3"/>
  <c r="D370" i="3"/>
  <c r="C370" i="3"/>
  <c r="K369" i="3"/>
  <c r="J369" i="3"/>
  <c r="H369" i="3"/>
  <c r="G369" i="3"/>
  <c r="F369" i="3"/>
  <c r="E369" i="3"/>
  <c r="D369" i="3"/>
  <c r="C369" i="3"/>
  <c r="K368" i="3"/>
  <c r="J368" i="3"/>
  <c r="H368" i="3"/>
  <c r="G368" i="3"/>
  <c r="F368" i="3"/>
  <c r="E368" i="3"/>
  <c r="D368" i="3"/>
  <c r="C368" i="3"/>
  <c r="K367" i="3"/>
  <c r="J367" i="3"/>
  <c r="H367" i="3"/>
  <c r="G367" i="3"/>
  <c r="F367" i="3"/>
  <c r="E367" i="3"/>
  <c r="D367" i="3"/>
  <c r="C367" i="3"/>
  <c r="K366" i="3"/>
  <c r="J366" i="3"/>
  <c r="H366" i="3"/>
  <c r="G366" i="3"/>
  <c r="F366" i="3"/>
  <c r="E366" i="3"/>
  <c r="D366" i="3"/>
  <c r="C366" i="3"/>
  <c r="K365" i="3"/>
  <c r="J365" i="3"/>
  <c r="H365" i="3"/>
  <c r="G365" i="3"/>
  <c r="F365" i="3"/>
  <c r="E365" i="3"/>
  <c r="D365" i="3"/>
  <c r="C365" i="3"/>
  <c r="K364" i="3"/>
  <c r="J364" i="3"/>
  <c r="H364" i="3"/>
  <c r="G364" i="3"/>
  <c r="F364" i="3"/>
  <c r="E364" i="3"/>
  <c r="D364" i="3"/>
  <c r="C364" i="3"/>
  <c r="K363" i="3"/>
  <c r="J363" i="3"/>
  <c r="H363" i="3"/>
  <c r="G363" i="3"/>
  <c r="F363" i="3"/>
  <c r="E363" i="3"/>
  <c r="D363" i="3"/>
  <c r="C363" i="3"/>
  <c r="K362" i="3"/>
  <c r="J362" i="3"/>
  <c r="H362" i="3"/>
  <c r="G362" i="3"/>
  <c r="F362" i="3"/>
  <c r="E362" i="3"/>
  <c r="D362" i="3"/>
  <c r="C362" i="3"/>
  <c r="K361" i="3"/>
  <c r="J361" i="3"/>
  <c r="H361" i="3"/>
  <c r="G361" i="3"/>
  <c r="F361" i="3"/>
  <c r="E361" i="3"/>
  <c r="D361" i="3"/>
  <c r="C361" i="3"/>
  <c r="K360" i="3"/>
  <c r="J360" i="3"/>
  <c r="H360" i="3"/>
  <c r="G360" i="3"/>
  <c r="F360" i="3"/>
  <c r="E360" i="3"/>
  <c r="D360" i="3"/>
  <c r="C360" i="3"/>
  <c r="K359" i="3"/>
  <c r="J359" i="3"/>
  <c r="H359" i="3"/>
  <c r="G359" i="3"/>
  <c r="F359" i="3"/>
  <c r="E359" i="3"/>
  <c r="D359" i="3"/>
  <c r="C359" i="3"/>
  <c r="K358" i="3"/>
  <c r="J358" i="3"/>
  <c r="H358" i="3"/>
  <c r="G358" i="3"/>
  <c r="F358" i="3"/>
  <c r="E358" i="3"/>
  <c r="D358" i="3"/>
  <c r="C358" i="3"/>
  <c r="K357" i="3"/>
  <c r="J357" i="3"/>
  <c r="H357" i="3"/>
  <c r="G357" i="3"/>
  <c r="F357" i="3"/>
  <c r="E357" i="3"/>
  <c r="D357" i="3"/>
  <c r="C357" i="3"/>
  <c r="K356" i="3"/>
  <c r="J356" i="3"/>
  <c r="H356" i="3"/>
  <c r="G356" i="3"/>
  <c r="F356" i="3"/>
  <c r="E356" i="3"/>
  <c r="D356" i="3"/>
  <c r="C356" i="3"/>
  <c r="K355" i="3"/>
  <c r="J355" i="3"/>
  <c r="H355" i="3"/>
  <c r="G355" i="3"/>
  <c r="F355" i="3"/>
  <c r="E355" i="3"/>
  <c r="D355" i="3"/>
  <c r="C355" i="3"/>
  <c r="K354" i="3"/>
  <c r="J354" i="3"/>
  <c r="H354" i="3"/>
  <c r="G354" i="3"/>
  <c r="F354" i="3"/>
  <c r="E354" i="3"/>
  <c r="D354" i="3"/>
  <c r="C354" i="3"/>
  <c r="K353" i="3"/>
  <c r="J353" i="3"/>
  <c r="H353" i="3"/>
  <c r="G353" i="3"/>
  <c r="F353" i="3"/>
  <c r="E353" i="3"/>
  <c r="D353" i="3"/>
  <c r="C353" i="3"/>
  <c r="K352" i="3"/>
  <c r="J352" i="3"/>
  <c r="H352" i="3"/>
  <c r="G352" i="3"/>
  <c r="F352" i="3"/>
  <c r="E352" i="3"/>
  <c r="D352" i="3"/>
  <c r="C352" i="3"/>
  <c r="K351" i="3"/>
  <c r="J351" i="3"/>
  <c r="H351" i="3"/>
  <c r="G351" i="3"/>
  <c r="F351" i="3"/>
  <c r="E351" i="3"/>
  <c r="D351" i="3"/>
  <c r="C351" i="3"/>
  <c r="K350" i="3"/>
  <c r="J350" i="3"/>
  <c r="H350" i="3"/>
  <c r="G350" i="3"/>
  <c r="F350" i="3"/>
  <c r="E350" i="3"/>
  <c r="D350" i="3"/>
  <c r="C350" i="3"/>
  <c r="K349" i="3"/>
  <c r="J349" i="3"/>
  <c r="H349" i="3"/>
  <c r="G349" i="3"/>
  <c r="F349" i="3"/>
  <c r="E349" i="3"/>
  <c r="D349" i="3"/>
  <c r="C349" i="3"/>
  <c r="K348" i="3"/>
  <c r="J348" i="3"/>
  <c r="H348" i="3"/>
  <c r="G348" i="3"/>
  <c r="F348" i="3"/>
  <c r="E348" i="3"/>
  <c r="D348" i="3"/>
  <c r="C348" i="3"/>
  <c r="K347" i="3"/>
  <c r="J347" i="3"/>
  <c r="H347" i="3"/>
  <c r="G347" i="3"/>
  <c r="F347" i="3"/>
  <c r="E347" i="3"/>
  <c r="D347" i="3"/>
  <c r="C347" i="3"/>
  <c r="K346" i="3"/>
  <c r="J346" i="3"/>
  <c r="H346" i="3"/>
  <c r="G346" i="3"/>
  <c r="F346" i="3"/>
  <c r="E346" i="3"/>
  <c r="D346" i="3"/>
  <c r="C346" i="3"/>
  <c r="K345" i="3"/>
  <c r="J345" i="3"/>
  <c r="H345" i="3"/>
  <c r="G345" i="3"/>
  <c r="F345" i="3"/>
  <c r="E345" i="3"/>
  <c r="D345" i="3"/>
  <c r="C345" i="3"/>
  <c r="K344" i="3"/>
  <c r="J344" i="3"/>
  <c r="H344" i="3"/>
  <c r="G344" i="3"/>
  <c r="F344" i="3"/>
  <c r="E344" i="3"/>
  <c r="D344" i="3"/>
  <c r="C344" i="3"/>
  <c r="K343" i="3"/>
  <c r="J343" i="3"/>
  <c r="H343" i="3"/>
  <c r="G343" i="3"/>
  <c r="F343" i="3"/>
  <c r="E343" i="3"/>
  <c r="D343" i="3"/>
  <c r="C343" i="3"/>
  <c r="K342" i="3"/>
  <c r="J342" i="3"/>
  <c r="H342" i="3"/>
  <c r="G342" i="3"/>
  <c r="F342" i="3"/>
  <c r="E342" i="3"/>
  <c r="D342" i="3"/>
  <c r="C342" i="3"/>
  <c r="K341" i="3"/>
  <c r="J341" i="3"/>
  <c r="H341" i="3"/>
  <c r="G341" i="3"/>
  <c r="F341" i="3"/>
  <c r="E341" i="3"/>
  <c r="D341" i="3"/>
  <c r="C341" i="3"/>
  <c r="K340" i="3"/>
  <c r="J340" i="3"/>
  <c r="H340" i="3"/>
  <c r="G340" i="3"/>
  <c r="F340" i="3"/>
  <c r="E340" i="3"/>
  <c r="D340" i="3"/>
  <c r="C340" i="3"/>
  <c r="K339" i="3"/>
  <c r="J339" i="3"/>
  <c r="H339" i="3"/>
  <c r="G339" i="3"/>
  <c r="F339" i="3"/>
  <c r="E339" i="3"/>
  <c r="D339" i="3"/>
  <c r="C339" i="3"/>
  <c r="K338" i="3"/>
  <c r="J338" i="3"/>
  <c r="H338" i="3"/>
  <c r="G338" i="3"/>
  <c r="F338" i="3"/>
  <c r="E338" i="3"/>
  <c r="D338" i="3"/>
  <c r="C338" i="3"/>
  <c r="K337" i="3"/>
  <c r="J337" i="3"/>
  <c r="H337" i="3"/>
  <c r="G337" i="3"/>
  <c r="F337" i="3"/>
  <c r="E337" i="3"/>
  <c r="D337" i="3"/>
  <c r="C337" i="3"/>
  <c r="K336" i="3"/>
  <c r="J336" i="3"/>
  <c r="H336" i="3"/>
  <c r="G336" i="3"/>
  <c r="F336" i="3"/>
  <c r="E336" i="3"/>
  <c r="D336" i="3"/>
  <c r="C336" i="3"/>
  <c r="K335" i="3"/>
  <c r="J335" i="3"/>
  <c r="H335" i="3"/>
  <c r="G335" i="3"/>
  <c r="F335" i="3"/>
  <c r="E335" i="3"/>
  <c r="D335" i="3"/>
  <c r="C335" i="3"/>
  <c r="K334" i="3"/>
  <c r="J334" i="3"/>
  <c r="H334" i="3"/>
  <c r="G334" i="3"/>
  <c r="F334" i="3"/>
  <c r="E334" i="3"/>
  <c r="D334" i="3"/>
  <c r="C334" i="3"/>
  <c r="K333" i="3"/>
  <c r="J333" i="3"/>
  <c r="H333" i="3"/>
  <c r="G333" i="3"/>
  <c r="F333" i="3"/>
  <c r="E333" i="3"/>
  <c r="D333" i="3"/>
  <c r="C333" i="3"/>
  <c r="K332" i="3"/>
  <c r="J332" i="3"/>
  <c r="H332" i="3"/>
  <c r="G332" i="3"/>
  <c r="F332" i="3"/>
  <c r="E332" i="3"/>
  <c r="D332" i="3"/>
  <c r="C332" i="3"/>
  <c r="K331" i="3"/>
  <c r="J331" i="3"/>
  <c r="H331" i="3"/>
  <c r="G331" i="3"/>
  <c r="F331" i="3"/>
  <c r="E331" i="3"/>
  <c r="D331" i="3"/>
  <c r="C331" i="3"/>
  <c r="K330" i="3"/>
  <c r="J330" i="3"/>
  <c r="H330" i="3"/>
  <c r="G330" i="3"/>
  <c r="F330" i="3"/>
  <c r="E330" i="3"/>
  <c r="D330" i="3"/>
  <c r="C330" i="3"/>
  <c r="K329" i="3"/>
  <c r="J329" i="3"/>
  <c r="H329" i="3"/>
  <c r="G329" i="3"/>
  <c r="F329" i="3"/>
  <c r="E329" i="3"/>
  <c r="D329" i="3"/>
  <c r="C329" i="3"/>
  <c r="K328" i="3"/>
  <c r="J328" i="3"/>
  <c r="H328" i="3"/>
  <c r="G328" i="3"/>
  <c r="F328" i="3"/>
  <c r="E328" i="3"/>
  <c r="D328" i="3"/>
  <c r="C328" i="3"/>
  <c r="K327" i="3"/>
  <c r="J327" i="3"/>
  <c r="H327" i="3"/>
  <c r="G327" i="3"/>
  <c r="F327" i="3"/>
  <c r="E327" i="3"/>
  <c r="D327" i="3"/>
  <c r="C327" i="3"/>
  <c r="K326" i="3"/>
  <c r="J326" i="3"/>
  <c r="H326" i="3"/>
  <c r="G326" i="3"/>
  <c r="F326" i="3"/>
  <c r="E326" i="3"/>
  <c r="D326" i="3"/>
  <c r="C326" i="3"/>
  <c r="K325" i="3"/>
  <c r="J325" i="3"/>
  <c r="H325" i="3"/>
  <c r="G325" i="3"/>
  <c r="F325" i="3"/>
  <c r="E325" i="3"/>
  <c r="D325" i="3"/>
  <c r="C325" i="3"/>
  <c r="K324" i="3"/>
  <c r="J324" i="3"/>
  <c r="H324" i="3"/>
  <c r="G324" i="3"/>
  <c r="F324" i="3"/>
  <c r="E324" i="3"/>
  <c r="D324" i="3"/>
  <c r="C324" i="3"/>
  <c r="K323" i="3"/>
  <c r="J323" i="3"/>
  <c r="H323" i="3"/>
  <c r="G323" i="3"/>
  <c r="F323" i="3"/>
  <c r="E323" i="3"/>
  <c r="D323" i="3"/>
  <c r="C323" i="3"/>
  <c r="K322" i="3"/>
  <c r="J322" i="3"/>
  <c r="H322" i="3"/>
  <c r="G322" i="3"/>
  <c r="F322" i="3"/>
  <c r="E322" i="3"/>
  <c r="D322" i="3"/>
  <c r="C322" i="3"/>
  <c r="K321" i="3"/>
  <c r="J321" i="3"/>
  <c r="H321" i="3"/>
  <c r="G321" i="3"/>
  <c r="F321" i="3"/>
  <c r="E321" i="3"/>
  <c r="D321" i="3"/>
  <c r="C321" i="3"/>
  <c r="K320" i="3"/>
  <c r="J320" i="3"/>
  <c r="H320" i="3"/>
  <c r="G320" i="3"/>
  <c r="F320" i="3"/>
  <c r="E320" i="3"/>
  <c r="D320" i="3"/>
  <c r="C320" i="3"/>
  <c r="K319" i="3"/>
  <c r="J319" i="3"/>
  <c r="H319" i="3"/>
  <c r="G319" i="3"/>
  <c r="F319" i="3"/>
  <c r="E319" i="3"/>
  <c r="D319" i="3"/>
  <c r="C319" i="3"/>
  <c r="K318" i="3"/>
  <c r="J318" i="3"/>
  <c r="H318" i="3"/>
  <c r="G318" i="3"/>
  <c r="F318" i="3"/>
  <c r="E318" i="3"/>
  <c r="D318" i="3"/>
  <c r="C318" i="3"/>
  <c r="K317" i="3"/>
  <c r="J317" i="3"/>
  <c r="H317" i="3"/>
  <c r="G317" i="3"/>
  <c r="F317" i="3"/>
  <c r="E317" i="3"/>
  <c r="D317" i="3"/>
  <c r="C317" i="3"/>
  <c r="K316" i="3"/>
  <c r="J316" i="3"/>
  <c r="H316" i="3"/>
  <c r="G316" i="3"/>
  <c r="F316" i="3"/>
  <c r="E316" i="3"/>
  <c r="D316" i="3"/>
  <c r="C316" i="3"/>
  <c r="K315" i="3"/>
  <c r="J315" i="3"/>
  <c r="H315" i="3"/>
  <c r="G315" i="3"/>
  <c r="F315" i="3"/>
  <c r="E315" i="3"/>
  <c r="D315" i="3"/>
  <c r="C315" i="3"/>
  <c r="K314" i="3"/>
  <c r="J314" i="3"/>
  <c r="H314" i="3"/>
  <c r="G314" i="3"/>
  <c r="F314" i="3"/>
  <c r="E314" i="3"/>
  <c r="D314" i="3"/>
  <c r="C314" i="3"/>
  <c r="K313" i="3"/>
  <c r="J313" i="3"/>
  <c r="H313" i="3"/>
  <c r="G313" i="3"/>
  <c r="F313" i="3"/>
  <c r="E313" i="3"/>
  <c r="D313" i="3"/>
  <c r="C313" i="3"/>
  <c r="K312" i="3"/>
  <c r="J312" i="3"/>
  <c r="H312" i="3"/>
  <c r="G312" i="3"/>
  <c r="F312" i="3"/>
  <c r="E312" i="3"/>
  <c r="D312" i="3"/>
  <c r="C312" i="3"/>
  <c r="K311" i="3"/>
  <c r="J311" i="3"/>
  <c r="H311" i="3"/>
  <c r="G311" i="3"/>
  <c r="F311" i="3"/>
  <c r="E311" i="3"/>
  <c r="D311" i="3"/>
  <c r="C311" i="3"/>
  <c r="K310" i="3"/>
  <c r="J310" i="3"/>
  <c r="H310" i="3"/>
  <c r="G310" i="3"/>
  <c r="F310" i="3"/>
  <c r="E310" i="3"/>
  <c r="D310" i="3"/>
  <c r="C310" i="3"/>
  <c r="K309" i="3"/>
  <c r="J309" i="3"/>
  <c r="H309" i="3"/>
  <c r="G309" i="3"/>
  <c r="F309" i="3"/>
  <c r="E309" i="3"/>
  <c r="D309" i="3"/>
  <c r="C309" i="3"/>
  <c r="K308" i="3"/>
  <c r="J308" i="3"/>
  <c r="H308" i="3"/>
  <c r="G308" i="3"/>
  <c r="F308" i="3"/>
  <c r="E308" i="3"/>
  <c r="D308" i="3"/>
  <c r="C308" i="3"/>
  <c r="K307" i="3"/>
  <c r="J307" i="3"/>
  <c r="H307" i="3"/>
  <c r="G307" i="3"/>
  <c r="F307" i="3"/>
  <c r="E307" i="3"/>
  <c r="D307" i="3"/>
  <c r="C307" i="3"/>
  <c r="K306" i="3"/>
  <c r="J306" i="3"/>
  <c r="H306" i="3"/>
  <c r="G306" i="3"/>
  <c r="F306" i="3"/>
  <c r="E306" i="3"/>
  <c r="D306" i="3"/>
  <c r="C306" i="3"/>
  <c r="K305" i="3"/>
  <c r="J305" i="3"/>
  <c r="H305" i="3"/>
  <c r="G305" i="3"/>
  <c r="F305" i="3"/>
  <c r="E305" i="3"/>
  <c r="D305" i="3"/>
  <c r="C305" i="3"/>
  <c r="K304" i="3"/>
  <c r="J304" i="3"/>
  <c r="H304" i="3"/>
  <c r="G304" i="3"/>
  <c r="F304" i="3"/>
  <c r="E304" i="3"/>
  <c r="D304" i="3"/>
  <c r="C304" i="3"/>
  <c r="K303" i="3"/>
  <c r="J303" i="3"/>
  <c r="H303" i="3"/>
  <c r="G303" i="3"/>
  <c r="F303" i="3"/>
  <c r="E303" i="3"/>
  <c r="D303" i="3"/>
  <c r="C303" i="3"/>
  <c r="K302" i="3"/>
  <c r="J302" i="3"/>
  <c r="H302" i="3"/>
  <c r="G302" i="3"/>
  <c r="F302" i="3"/>
  <c r="E302" i="3"/>
  <c r="D302" i="3"/>
  <c r="C302" i="3"/>
  <c r="K301" i="3"/>
  <c r="J301" i="3"/>
  <c r="H301" i="3"/>
  <c r="G301" i="3"/>
  <c r="F301" i="3"/>
  <c r="E301" i="3"/>
  <c r="D301" i="3"/>
  <c r="C301" i="3"/>
  <c r="K300" i="3"/>
  <c r="J300" i="3"/>
  <c r="H300" i="3"/>
  <c r="G300" i="3"/>
  <c r="F300" i="3"/>
  <c r="E300" i="3"/>
  <c r="D300" i="3"/>
  <c r="C300" i="3"/>
  <c r="K299" i="3"/>
  <c r="J299" i="3"/>
  <c r="H299" i="3"/>
  <c r="G299" i="3"/>
  <c r="F299" i="3"/>
  <c r="E299" i="3"/>
  <c r="D299" i="3"/>
  <c r="C299" i="3"/>
  <c r="K298" i="3"/>
  <c r="J298" i="3"/>
  <c r="H298" i="3"/>
  <c r="G298" i="3"/>
  <c r="F298" i="3"/>
  <c r="E298" i="3"/>
  <c r="D298" i="3"/>
  <c r="C298" i="3"/>
  <c r="K297" i="3"/>
  <c r="J297" i="3"/>
  <c r="H297" i="3"/>
  <c r="G297" i="3"/>
  <c r="F297" i="3"/>
  <c r="E297" i="3"/>
  <c r="D297" i="3"/>
  <c r="C297" i="3"/>
  <c r="K296" i="3"/>
  <c r="J296" i="3"/>
  <c r="H296" i="3"/>
  <c r="G296" i="3"/>
  <c r="F296" i="3"/>
  <c r="E296" i="3"/>
  <c r="D296" i="3"/>
  <c r="C296" i="3"/>
  <c r="K295" i="3"/>
  <c r="J295" i="3"/>
  <c r="H295" i="3"/>
  <c r="G295" i="3"/>
  <c r="F295" i="3"/>
  <c r="E295" i="3"/>
  <c r="D295" i="3"/>
  <c r="C295" i="3"/>
  <c r="K294" i="3"/>
  <c r="J294" i="3"/>
  <c r="H294" i="3"/>
  <c r="G294" i="3"/>
  <c r="F294" i="3"/>
  <c r="E294" i="3"/>
  <c r="D294" i="3"/>
  <c r="C294" i="3"/>
  <c r="K293" i="3"/>
  <c r="J293" i="3"/>
  <c r="H293" i="3"/>
  <c r="G293" i="3"/>
  <c r="I293" i="3" s="1"/>
  <c r="F293" i="3"/>
  <c r="E293" i="3"/>
  <c r="D293" i="3"/>
  <c r="C293" i="3"/>
  <c r="K292" i="3"/>
  <c r="J292" i="3"/>
  <c r="H292" i="3"/>
  <c r="G292" i="3"/>
  <c r="I292" i="3" s="1"/>
  <c r="F292" i="3"/>
  <c r="E292" i="3"/>
  <c r="D292" i="3"/>
  <c r="C292" i="3"/>
  <c r="K291" i="3"/>
  <c r="J291" i="3"/>
  <c r="H291" i="3"/>
  <c r="G291" i="3"/>
  <c r="I291" i="3" s="1"/>
  <c r="F291" i="3"/>
  <c r="E291" i="3"/>
  <c r="D291" i="3"/>
  <c r="C291" i="3"/>
  <c r="K290" i="3"/>
  <c r="J290" i="3"/>
  <c r="H290" i="3"/>
  <c r="G290" i="3"/>
  <c r="I290" i="3" s="1"/>
  <c r="F290" i="3"/>
  <c r="E290" i="3"/>
  <c r="D290" i="3"/>
  <c r="C290" i="3"/>
  <c r="K289" i="3"/>
  <c r="J289" i="3"/>
  <c r="H289" i="3"/>
  <c r="G289" i="3"/>
  <c r="I289" i="3" s="1"/>
  <c r="F289" i="3"/>
  <c r="E289" i="3"/>
  <c r="D289" i="3"/>
  <c r="C289" i="3"/>
  <c r="K288" i="3"/>
  <c r="J288" i="3"/>
  <c r="H288" i="3"/>
  <c r="G288" i="3"/>
  <c r="I288" i="3" s="1"/>
  <c r="F288" i="3"/>
  <c r="E288" i="3"/>
  <c r="D288" i="3"/>
  <c r="C288" i="3"/>
  <c r="K287" i="3"/>
  <c r="J287" i="3"/>
  <c r="H287" i="3"/>
  <c r="G287" i="3"/>
  <c r="I287" i="3" s="1"/>
  <c r="F287" i="3"/>
  <c r="E287" i="3"/>
  <c r="D287" i="3"/>
  <c r="C287" i="3"/>
  <c r="K286" i="3"/>
  <c r="J286" i="3"/>
  <c r="H286" i="3"/>
  <c r="G286" i="3"/>
  <c r="I286" i="3" s="1"/>
  <c r="F286" i="3"/>
  <c r="E286" i="3"/>
  <c r="D286" i="3"/>
  <c r="C286" i="3"/>
  <c r="K285" i="3"/>
  <c r="J285" i="3"/>
  <c r="H285" i="3"/>
  <c r="G285" i="3"/>
  <c r="I285" i="3" s="1"/>
  <c r="F285" i="3"/>
  <c r="E285" i="3"/>
  <c r="D285" i="3"/>
  <c r="C285" i="3"/>
  <c r="K284" i="3"/>
  <c r="J284" i="3"/>
  <c r="H284" i="3"/>
  <c r="G284" i="3"/>
  <c r="I284" i="3" s="1"/>
  <c r="F284" i="3"/>
  <c r="E284" i="3"/>
  <c r="D284" i="3"/>
  <c r="C284" i="3"/>
  <c r="K283" i="3"/>
  <c r="J283" i="3"/>
  <c r="H283" i="3"/>
  <c r="G283" i="3"/>
  <c r="I283" i="3" s="1"/>
  <c r="F283" i="3"/>
  <c r="E283" i="3"/>
  <c r="D283" i="3"/>
  <c r="C283" i="3"/>
  <c r="K282" i="3"/>
  <c r="J282" i="3"/>
  <c r="H282" i="3"/>
  <c r="G282" i="3"/>
  <c r="I282" i="3" s="1"/>
  <c r="F282" i="3"/>
  <c r="E282" i="3"/>
  <c r="D282" i="3"/>
  <c r="C282" i="3"/>
  <c r="K281" i="3"/>
  <c r="J281" i="3"/>
  <c r="H281" i="3"/>
  <c r="G281" i="3"/>
  <c r="I281" i="3" s="1"/>
  <c r="F281" i="3"/>
  <c r="E281" i="3"/>
  <c r="D281" i="3"/>
  <c r="C281" i="3"/>
  <c r="K280" i="3"/>
  <c r="J280" i="3"/>
  <c r="H280" i="3"/>
  <c r="G280" i="3"/>
  <c r="I280" i="3" s="1"/>
  <c r="F280" i="3"/>
  <c r="E280" i="3"/>
  <c r="D280" i="3"/>
  <c r="C280" i="3"/>
  <c r="K279" i="3"/>
  <c r="J279" i="3"/>
  <c r="H279" i="3"/>
  <c r="G279" i="3"/>
  <c r="I279" i="3" s="1"/>
  <c r="F279" i="3"/>
  <c r="E279" i="3"/>
  <c r="D279" i="3"/>
  <c r="C279" i="3"/>
  <c r="K278" i="3"/>
  <c r="J278" i="3"/>
  <c r="H278" i="3"/>
  <c r="G278" i="3"/>
  <c r="I278" i="3" s="1"/>
  <c r="F278" i="3"/>
  <c r="E278" i="3"/>
  <c r="D278" i="3"/>
  <c r="C278" i="3"/>
  <c r="K277" i="3"/>
  <c r="J277" i="3"/>
  <c r="H277" i="3"/>
  <c r="G277" i="3"/>
  <c r="I277" i="3" s="1"/>
  <c r="F277" i="3"/>
  <c r="E277" i="3"/>
  <c r="D277" i="3"/>
  <c r="C277" i="3"/>
  <c r="K276" i="3"/>
  <c r="J276" i="3"/>
  <c r="H276" i="3"/>
  <c r="G276" i="3"/>
  <c r="I276" i="3" s="1"/>
  <c r="F276" i="3"/>
  <c r="E276" i="3"/>
  <c r="D276" i="3"/>
  <c r="C276" i="3"/>
  <c r="K275" i="3"/>
  <c r="J275" i="3"/>
  <c r="H275" i="3"/>
  <c r="G275" i="3"/>
  <c r="I275" i="3" s="1"/>
  <c r="F275" i="3"/>
  <c r="E275" i="3"/>
  <c r="D275" i="3"/>
  <c r="C275" i="3"/>
  <c r="K274" i="3"/>
  <c r="J274" i="3"/>
  <c r="H274" i="3"/>
  <c r="G274" i="3"/>
  <c r="I274" i="3" s="1"/>
  <c r="F274" i="3"/>
  <c r="E274" i="3"/>
  <c r="D274" i="3"/>
  <c r="C274" i="3"/>
  <c r="K273" i="3"/>
  <c r="J273" i="3"/>
  <c r="H273" i="3"/>
  <c r="G273" i="3"/>
  <c r="I273" i="3" s="1"/>
  <c r="F273" i="3"/>
  <c r="E273" i="3"/>
  <c r="D273" i="3"/>
  <c r="C273" i="3"/>
  <c r="K272" i="3"/>
  <c r="J272" i="3"/>
  <c r="H272" i="3"/>
  <c r="G272" i="3"/>
  <c r="I272" i="3" s="1"/>
  <c r="F272" i="3"/>
  <c r="E272" i="3"/>
  <c r="D272" i="3"/>
  <c r="C272" i="3"/>
  <c r="K271" i="3"/>
  <c r="J271" i="3"/>
  <c r="H271" i="3"/>
  <c r="G271" i="3"/>
  <c r="I271" i="3" s="1"/>
  <c r="F271" i="3"/>
  <c r="E271" i="3"/>
  <c r="D271" i="3"/>
  <c r="C271" i="3"/>
  <c r="K270" i="3"/>
  <c r="J270" i="3"/>
  <c r="H270" i="3"/>
  <c r="G270" i="3"/>
  <c r="I270" i="3" s="1"/>
  <c r="F270" i="3"/>
  <c r="E270" i="3"/>
  <c r="D270" i="3"/>
  <c r="C270" i="3"/>
  <c r="K269" i="3"/>
  <c r="J269" i="3"/>
  <c r="H269" i="3"/>
  <c r="G269" i="3"/>
  <c r="I269" i="3" s="1"/>
  <c r="F269" i="3"/>
  <c r="E269" i="3"/>
  <c r="D269" i="3"/>
  <c r="C269" i="3"/>
  <c r="K268" i="3"/>
  <c r="J268" i="3"/>
  <c r="H268" i="3"/>
  <c r="G268" i="3"/>
  <c r="I268" i="3" s="1"/>
  <c r="F268" i="3"/>
  <c r="E268" i="3"/>
  <c r="D268" i="3"/>
  <c r="C268" i="3"/>
  <c r="K267" i="3"/>
  <c r="J267" i="3"/>
  <c r="H267" i="3"/>
  <c r="G267" i="3"/>
  <c r="I267" i="3" s="1"/>
  <c r="F267" i="3"/>
  <c r="E267" i="3"/>
  <c r="D267" i="3"/>
  <c r="C267" i="3"/>
  <c r="K266" i="3"/>
  <c r="J266" i="3"/>
  <c r="H266" i="3"/>
  <c r="G266" i="3"/>
  <c r="I266" i="3" s="1"/>
  <c r="F266" i="3"/>
  <c r="E266" i="3"/>
  <c r="D266" i="3"/>
  <c r="C266" i="3"/>
  <c r="K265" i="3"/>
  <c r="J265" i="3"/>
  <c r="H265" i="3"/>
  <c r="G265" i="3"/>
  <c r="I265" i="3" s="1"/>
  <c r="F265" i="3"/>
  <c r="E265" i="3"/>
  <c r="D265" i="3"/>
  <c r="C265" i="3"/>
  <c r="K264" i="3"/>
  <c r="J264" i="3"/>
  <c r="H264" i="3"/>
  <c r="G264" i="3"/>
  <c r="I264" i="3" s="1"/>
  <c r="F264" i="3"/>
  <c r="E264" i="3"/>
  <c r="D264" i="3"/>
  <c r="C264" i="3"/>
  <c r="K263" i="3"/>
  <c r="J263" i="3"/>
  <c r="H263" i="3"/>
  <c r="G263" i="3"/>
  <c r="I263" i="3" s="1"/>
  <c r="F263" i="3"/>
  <c r="E263" i="3"/>
  <c r="D263" i="3"/>
  <c r="C263" i="3"/>
  <c r="K262" i="3"/>
  <c r="J262" i="3"/>
  <c r="H262" i="3"/>
  <c r="G262" i="3"/>
  <c r="I262" i="3" s="1"/>
  <c r="F262" i="3"/>
  <c r="E262" i="3"/>
  <c r="D262" i="3"/>
  <c r="C262" i="3"/>
  <c r="K261" i="3"/>
  <c r="J261" i="3"/>
  <c r="H261" i="3"/>
  <c r="G261" i="3"/>
  <c r="I261" i="3" s="1"/>
  <c r="F261" i="3"/>
  <c r="E261" i="3"/>
  <c r="D261" i="3"/>
  <c r="C261" i="3"/>
  <c r="K260" i="3"/>
  <c r="J260" i="3"/>
  <c r="H260" i="3"/>
  <c r="G260" i="3"/>
  <c r="I260" i="3" s="1"/>
  <c r="F260" i="3"/>
  <c r="E260" i="3"/>
  <c r="D260" i="3"/>
  <c r="C260" i="3"/>
  <c r="K259" i="3"/>
  <c r="J259" i="3"/>
  <c r="H259" i="3"/>
  <c r="G259" i="3"/>
  <c r="I259" i="3" s="1"/>
  <c r="F259" i="3"/>
  <c r="E259" i="3"/>
  <c r="D259" i="3"/>
  <c r="C259" i="3"/>
  <c r="K258" i="3"/>
  <c r="J258" i="3"/>
  <c r="H258" i="3"/>
  <c r="G258" i="3"/>
  <c r="I258" i="3" s="1"/>
  <c r="F258" i="3"/>
  <c r="E258" i="3"/>
  <c r="D258" i="3"/>
  <c r="C258" i="3"/>
  <c r="K257" i="3"/>
  <c r="J257" i="3"/>
  <c r="H257" i="3"/>
  <c r="G257" i="3"/>
  <c r="I257" i="3" s="1"/>
  <c r="F257" i="3"/>
  <c r="E257" i="3"/>
  <c r="D257" i="3"/>
  <c r="C257" i="3"/>
  <c r="K256" i="3"/>
  <c r="J256" i="3"/>
  <c r="H256" i="3"/>
  <c r="G256" i="3"/>
  <c r="I256" i="3" s="1"/>
  <c r="F256" i="3"/>
  <c r="E256" i="3"/>
  <c r="D256" i="3"/>
  <c r="C256" i="3"/>
  <c r="K255" i="3"/>
  <c r="J255" i="3"/>
  <c r="H255" i="3"/>
  <c r="G255" i="3"/>
  <c r="I255" i="3" s="1"/>
  <c r="F255" i="3"/>
  <c r="E255" i="3"/>
  <c r="D255" i="3"/>
  <c r="C255" i="3"/>
  <c r="K254" i="3"/>
  <c r="J254" i="3"/>
  <c r="H254" i="3"/>
  <c r="G254" i="3"/>
  <c r="I254" i="3" s="1"/>
  <c r="F254" i="3"/>
  <c r="E254" i="3"/>
  <c r="D254" i="3"/>
  <c r="C254" i="3"/>
  <c r="K253" i="3"/>
  <c r="J253" i="3"/>
  <c r="H253" i="3"/>
  <c r="G253" i="3"/>
  <c r="I253" i="3" s="1"/>
  <c r="F253" i="3"/>
  <c r="E253" i="3"/>
  <c r="D253" i="3"/>
  <c r="C253" i="3"/>
  <c r="K252" i="3"/>
  <c r="J252" i="3"/>
  <c r="H252" i="3"/>
  <c r="G252" i="3"/>
  <c r="I252" i="3" s="1"/>
  <c r="F252" i="3"/>
  <c r="E252" i="3"/>
  <c r="D252" i="3"/>
  <c r="C252" i="3"/>
  <c r="K251" i="3"/>
  <c r="J251" i="3"/>
  <c r="H251" i="3"/>
  <c r="G251" i="3"/>
  <c r="I251" i="3" s="1"/>
  <c r="F251" i="3"/>
  <c r="E251" i="3"/>
  <c r="D251" i="3"/>
  <c r="C251" i="3"/>
  <c r="K250" i="3"/>
  <c r="J250" i="3"/>
  <c r="H250" i="3"/>
  <c r="G250" i="3"/>
  <c r="I250" i="3" s="1"/>
  <c r="F250" i="3"/>
  <c r="E250" i="3"/>
  <c r="D250" i="3"/>
  <c r="C250" i="3"/>
  <c r="K249" i="3"/>
  <c r="J249" i="3"/>
  <c r="H249" i="3"/>
  <c r="G249" i="3"/>
  <c r="I249" i="3" s="1"/>
  <c r="F249" i="3"/>
  <c r="E249" i="3"/>
  <c r="D249" i="3"/>
  <c r="C249" i="3"/>
  <c r="K248" i="3"/>
  <c r="J248" i="3"/>
  <c r="H248" i="3"/>
  <c r="G248" i="3"/>
  <c r="I248" i="3" s="1"/>
  <c r="F248" i="3"/>
  <c r="E248" i="3"/>
  <c r="D248" i="3"/>
  <c r="C248" i="3"/>
  <c r="K247" i="3"/>
  <c r="J247" i="3"/>
  <c r="H247" i="3"/>
  <c r="G247" i="3"/>
  <c r="I247" i="3" s="1"/>
  <c r="F247" i="3"/>
  <c r="E247" i="3"/>
  <c r="D247" i="3"/>
  <c r="C247" i="3"/>
  <c r="K246" i="3"/>
  <c r="J246" i="3"/>
  <c r="H246" i="3"/>
  <c r="G246" i="3"/>
  <c r="I246" i="3" s="1"/>
  <c r="F246" i="3"/>
  <c r="E246" i="3"/>
  <c r="D246" i="3"/>
  <c r="C246" i="3"/>
  <c r="K245" i="3"/>
  <c r="J245" i="3"/>
  <c r="H245" i="3"/>
  <c r="G245" i="3"/>
  <c r="I245" i="3" s="1"/>
  <c r="F245" i="3"/>
  <c r="E245" i="3"/>
  <c r="D245" i="3"/>
  <c r="C245" i="3"/>
  <c r="K244" i="3"/>
  <c r="J244" i="3"/>
  <c r="H244" i="3"/>
  <c r="G244" i="3"/>
  <c r="I244" i="3" s="1"/>
  <c r="F244" i="3"/>
  <c r="E244" i="3"/>
  <c r="D244" i="3"/>
  <c r="C244" i="3"/>
  <c r="K243" i="3"/>
  <c r="J243" i="3"/>
  <c r="H243" i="3"/>
  <c r="G243" i="3"/>
  <c r="I243" i="3" s="1"/>
  <c r="F243" i="3"/>
  <c r="E243" i="3"/>
  <c r="D243" i="3"/>
  <c r="C243" i="3"/>
  <c r="K242" i="3"/>
  <c r="J242" i="3"/>
  <c r="H242" i="3"/>
  <c r="G242" i="3"/>
  <c r="I242" i="3" s="1"/>
  <c r="F242" i="3"/>
  <c r="E242" i="3"/>
  <c r="D242" i="3"/>
  <c r="C242" i="3"/>
  <c r="K241" i="3"/>
  <c r="J241" i="3"/>
  <c r="H241" i="3"/>
  <c r="G241" i="3"/>
  <c r="F241" i="3"/>
  <c r="E241" i="3"/>
  <c r="D241" i="3"/>
  <c r="C241" i="3"/>
  <c r="K240" i="3"/>
  <c r="J240" i="3"/>
  <c r="H240" i="3"/>
  <c r="G240" i="3"/>
  <c r="F240" i="3"/>
  <c r="E240" i="3"/>
  <c r="D240" i="3"/>
  <c r="C240" i="3"/>
  <c r="K239" i="3"/>
  <c r="J239" i="3"/>
  <c r="H239" i="3"/>
  <c r="G239" i="3"/>
  <c r="F239" i="3"/>
  <c r="E239" i="3"/>
  <c r="D239" i="3"/>
  <c r="C239" i="3"/>
  <c r="K238" i="3"/>
  <c r="J238" i="3"/>
  <c r="H238" i="3"/>
  <c r="G238" i="3"/>
  <c r="F238" i="3"/>
  <c r="E238" i="3"/>
  <c r="D238" i="3"/>
  <c r="C238" i="3"/>
  <c r="K237" i="3"/>
  <c r="J237" i="3"/>
  <c r="H237" i="3"/>
  <c r="G237" i="3"/>
  <c r="F237" i="3"/>
  <c r="E237" i="3"/>
  <c r="D237" i="3"/>
  <c r="C237" i="3"/>
  <c r="K236" i="3"/>
  <c r="J236" i="3"/>
  <c r="H236" i="3"/>
  <c r="G236" i="3"/>
  <c r="F236" i="3"/>
  <c r="E236" i="3"/>
  <c r="D236" i="3"/>
  <c r="C236" i="3"/>
  <c r="K235" i="3"/>
  <c r="J235" i="3"/>
  <c r="H235" i="3"/>
  <c r="G235" i="3"/>
  <c r="F235" i="3"/>
  <c r="E235" i="3"/>
  <c r="D235" i="3"/>
  <c r="C235" i="3"/>
  <c r="K234" i="3"/>
  <c r="J234" i="3"/>
  <c r="H234" i="3"/>
  <c r="G234" i="3"/>
  <c r="F234" i="3"/>
  <c r="E234" i="3"/>
  <c r="D234" i="3"/>
  <c r="C234" i="3"/>
  <c r="K233" i="3"/>
  <c r="J233" i="3"/>
  <c r="H233" i="3"/>
  <c r="G233" i="3"/>
  <c r="F233" i="3"/>
  <c r="E233" i="3"/>
  <c r="D233" i="3"/>
  <c r="C233" i="3"/>
  <c r="K232" i="3"/>
  <c r="J232" i="3"/>
  <c r="H232" i="3"/>
  <c r="G232" i="3"/>
  <c r="F232" i="3"/>
  <c r="E232" i="3"/>
  <c r="D232" i="3"/>
  <c r="C232" i="3"/>
  <c r="K231" i="3"/>
  <c r="J231" i="3"/>
  <c r="H231" i="3"/>
  <c r="G231" i="3"/>
  <c r="F231" i="3"/>
  <c r="E231" i="3"/>
  <c r="D231" i="3"/>
  <c r="C231" i="3"/>
  <c r="K230" i="3"/>
  <c r="J230" i="3"/>
  <c r="H230" i="3"/>
  <c r="G230" i="3"/>
  <c r="F230" i="3"/>
  <c r="E230" i="3"/>
  <c r="D230" i="3"/>
  <c r="C230" i="3"/>
  <c r="K229" i="3"/>
  <c r="J229" i="3"/>
  <c r="H229" i="3"/>
  <c r="G229" i="3"/>
  <c r="F229" i="3"/>
  <c r="E229" i="3"/>
  <c r="D229" i="3"/>
  <c r="C229" i="3"/>
  <c r="K228" i="3"/>
  <c r="J228" i="3"/>
  <c r="H228" i="3"/>
  <c r="G228" i="3"/>
  <c r="F228" i="3"/>
  <c r="E228" i="3"/>
  <c r="D228" i="3"/>
  <c r="C228" i="3"/>
  <c r="K227" i="3"/>
  <c r="J227" i="3"/>
  <c r="H227" i="3"/>
  <c r="G227" i="3"/>
  <c r="F227" i="3"/>
  <c r="E227" i="3"/>
  <c r="D227" i="3"/>
  <c r="C227" i="3"/>
  <c r="K226" i="3"/>
  <c r="J226" i="3"/>
  <c r="H226" i="3"/>
  <c r="G226" i="3"/>
  <c r="I226" i="3" s="1"/>
  <c r="F226" i="3"/>
  <c r="E226" i="3"/>
  <c r="D226" i="3"/>
  <c r="C226" i="3"/>
  <c r="K225" i="3"/>
  <c r="J225" i="3"/>
  <c r="H225" i="3"/>
  <c r="G225" i="3"/>
  <c r="I225" i="3" s="1"/>
  <c r="F225" i="3"/>
  <c r="E225" i="3"/>
  <c r="D225" i="3"/>
  <c r="C225" i="3"/>
  <c r="K224" i="3"/>
  <c r="J224" i="3"/>
  <c r="H224" i="3"/>
  <c r="G224" i="3"/>
  <c r="I224" i="3" s="1"/>
  <c r="F224" i="3"/>
  <c r="E224" i="3"/>
  <c r="D224" i="3"/>
  <c r="C224" i="3"/>
  <c r="K223" i="3"/>
  <c r="J223" i="3"/>
  <c r="H223" i="3"/>
  <c r="G223" i="3"/>
  <c r="I223" i="3" s="1"/>
  <c r="F223" i="3"/>
  <c r="E223" i="3"/>
  <c r="D223" i="3"/>
  <c r="C223" i="3"/>
  <c r="K222" i="3"/>
  <c r="J222" i="3"/>
  <c r="H222" i="3"/>
  <c r="G222" i="3"/>
  <c r="I222" i="3" s="1"/>
  <c r="F222" i="3"/>
  <c r="E222" i="3"/>
  <c r="D222" i="3"/>
  <c r="C222" i="3"/>
  <c r="K221" i="3"/>
  <c r="J221" i="3"/>
  <c r="H221" i="3"/>
  <c r="G221" i="3"/>
  <c r="I221" i="3" s="1"/>
  <c r="F221" i="3"/>
  <c r="E221" i="3"/>
  <c r="D221" i="3"/>
  <c r="C221" i="3"/>
  <c r="K220" i="3"/>
  <c r="J220" i="3"/>
  <c r="H220" i="3"/>
  <c r="G220" i="3"/>
  <c r="I220" i="3" s="1"/>
  <c r="F220" i="3"/>
  <c r="E220" i="3"/>
  <c r="D220" i="3"/>
  <c r="C220" i="3"/>
  <c r="K219" i="3"/>
  <c r="J219" i="3"/>
  <c r="H219" i="3"/>
  <c r="G219" i="3"/>
  <c r="I219" i="3" s="1"/>
  <c r="F219" i="3"/>
  <c r="E219" i="3"/>
  <c r="D219" i="3"/>
  <c r="C219" i="3"/>
  <c r="K218" i="3"/>
  <c r="J218" i="3"/>
  <c r="H218" i="3"/>
  <c r="G218" i="3"/>
  <c r="I218" i="3" s="1"/>
  <c r="F218" i="3"/>
  <c r="E218" i="3"/>
  <c r="D218" i="3"/>
  <c r="C218" i="3"/>
  <c r="K217" i="3"/>
  <c r="J217" i="3"/>
  <c r="H217" i="3"/>
  <c r="G217" i="3"/>
  <c r="I217" i="3" s="1"/>
  <c r="F217" i="3"/>
  <c r="E217" i="3"/>
  <c r="D217" i="3"/>
  <c r="C217" i="3"/>
  <c r="K216" i="3"/>
  <c r="J216" i="3"/>
  <c r="H216" i="3"/>
  <c r="G216" i="3"/>
  <c r="I216" i="3" s="1"/>
  <c r="F216" i="3"/>
  <c r="E216" i="3"/>
  <c r="D216" i="3"/>
  <c r="C216" i="3"/>
  <c r="K215" i="3"/>
  <c r="J215" i="3"/>
  <c r="H215" i="3"/>
  <c r="G215" i="3"/>
  <c r="I215" i="3" s="1"/>
  <c r="F215" i="3"/>
  <c r="E215" i="3"/>
  <c r="D215" i="3"/>
  <c r="C215" i="3"/>
  <c r="K214" i="3"/>
  <c r="J214" i="3"/>
  <c r="H214" i="3"/>
  <c r="G214" i="3"/>
  <c r="I214" i="3" s="1"/>
  <c r="F214" i="3"/>
  <c r="E214" i="3"/>
  <c r="D214" i="3"/>
  <c r="C214" i="3"/>
  <c r="K213" i="3"/>
  <c r="J213" i="3"/>
  <c r="H213" i="3"/>
  <c r="G213" i="3"/>
  <c r="I213" i="3" s="1"/>
  <c r="F213" i="3"/>
  <c r="E213" i="3"/>
  <c r="D213" i="3"/>
  <c r="C213" i="3"/>
  <c r="K212" i="3"/>
  <c r="J212" i="3"/>
  <c r="H212" i="3"/>
  <c r="G212" i="3"/>
  <c r="I212" i="3" s="1"/>
  <c r="F212" i="3"/>
  <c r="E212" i="3"/>
  <c r="D212" i="3"/>
  <c r="C212" i="3"/>
  <c r="K211" i="3"/>
  <c r="J211" i="3"/>
  <c r="H211" i="3"/>
  <c r="G211" i="3"/>
  <c r="I211" i="3" s="1"/>
  <c r="F211" i="3"/>
  <c r="E211" i="3"/>
  <c r="D211" i="3"/>
  <c r="C211" i="3"/>
  <c r="K210" i="3"/>
  <c r="J210" i="3"/>
  <c r="H210" i="3"/>
  <c r="G210" i="3"/>
  <c r="I210" i="3" s="1"/>
  <c r="F210" i="3"/>
  <c r="E210" i="3"/>
  <c r="D210" i="3"/>
  <c r="C210" i="3"/>
  <c r="K209" i="3"/>
  <c r="J209" i="3"/>
  <c r="H209" i="3"/>
  <c r="G209" i="3"/>
  <c r="I209" i="3" s="1"/>
  <c r="F209" i="3"/>
  <c r="E209" i="3"/>
  <c r="D209" i="3"/>
  <c r="C209" i="3"/>
  <c r="K208" i="3"/>
  <c r="J208" i="3"/>
  <c r="H208" i="3"/>
  <c r="G208" i="3"/>
  <c r="I208" i="3" s="1"/>
  <c r="F208" i="3"/>
  <c r="E208" i="3"/>
  <c r="D208" i="3"/>
  <c r="C208" i="3"/>
  <c r="K207" i="3"/>
  <c r="J207" i="3"/>
  <c r="H207" i="3"/>
  <c r="G207" i="3"/>
  <c r="I207" i="3" s="1"/>
  <c r="F207" i="3"/>
  <c r="E207" i="3"/>
  <c r="D207" i="3"/>
  <c r="C207" i="3"/>
  <c r="K206" i="3"/>
  <c r="J206" i="3"/>
  <c r="H206" i="3"/>
  <c r="G206" i="3"/>
  <c r="I206" i="3" s="1"/>
  <c r="F206" i="3"/>
  <c r="E206" i="3"/>
  <c r="D206" i="3"/>
  <c r="C206" i="3"/>
  <c r="K205" i="3"/>
  <c r="J205" i="3"/>
  <c r="H205" i="3"/>
  <c r="G205" i="3"/>
  <c r="I205" i="3" s="1"/>
  <c r="F205" i="3"/>
  <c r="E205" i="3"/>
  <c r="D205" i="3"/>
  <c r="C205" i="3"/>
  <c r="K204" i="3"/>
  <c r="J204" i="3"/>
  <c r="H204" i="3"/>
  <c r="G204" i="3"/>
  <c r="I204" i="3" s="1"/>
  <c r="F204" i="3"/>
  <c r="E204" i="3"/>
  <c r="D204" i="3"/>
  <c r="C204" i="3"/>
  <c r="K203" i="3"/>
  <c r="J203" i="3"/>
  <c r="H203" i="3"/>
  <c r="G203" i="3"/>
  <c r="I203" i="3" s="1"/>
  <c r="F203" i="3"/>
  <c r="E203" i="3"/>
  <c r="D203" i="3"/>
  <c r="C203" i="3"/>
  <c r="K202" i="3"/>
  <c r="J202" i="3"/>
  <c r="H202" i="3"/>
  <c r="G202" i="3"/>
  <c r="I202" i="3" s="1"/>
  <c r="F202" i="3"/>
  <c r="E202" i="3"/>
  <c r="D202" i="3"/>
  <c r="C202" i="3"/>
  <c r="K201" i="3"/>
  <c r="J201" i="3"/>
  <c r="H201" i="3"/>
  <c r="G201" i="3"/>
  <c r="I201" i="3" s="1"/>
  <c r="F201" i="3"/>
  <c r="E201" i="3"/>
  <c r="D201" i="3"/>
  <c r="C201" i="3"/>
  <c r="K200" i="3"/>
  <c r="J200" i="3"/>
  <c r="H200" i="3"/>
  <c r="G200" i="3"/>
  <c r="I200" i="3" s="1"/>
  <c r="F200" i="3"/>
  <c r="E200" i="3"/>
  <c r="D200" i="3"/>
  <c r="C200" i="3"/>
  <c r="K199" i="3"/>
  <c r="J199" i="3"/>
  <c r="H199" i="3"/>
  <c r="G199" i="3"/>
  <c r="I199" i="3" s="1"/>
  <c r="F199" i="3"/>
  <c r="E199" i="3"/>
  <c r="D199" i="3"/>
  <c r="C199" i="3"/>
  <c r="K198" i="3"/>
  <c r="J198" i="3"/>
  <c r="H198" i="3"/>
  <c r="G198" i="3"/>
  <c r="I198" i="3" s="1"/>
  <c r="F198" i="3"/>
  <c r="E198" i="3"/>
  <c r="D198" i="3"/>
  <c r="C198" i="3"/>
  <c r="K197" i="3"/>
  <c r="J197" i="3"/>
  <c r="H197" i="3"/>
  <c r="G197" i="3"/>
  <c r="I197" i="3" s="1"/>
  <c r="F197" i="3"/>
  <c r="E197" i="3"/>
  <c r="D197" i="3"/>
  <c r="C197" i="3"/>
  <c r="K196" i="3"/>
  <c r="J196" i="3"/>
  <c r="H196" i="3"/>
  <c r="G196" i="3"/>
  <c r="I196" i="3" s="1"/>
  <c r="F196" i="3"/>
  <c r="E196" i="3"/>
  <c r="D196" i="3"/>
  <c r="C196" i="3"/>
  <c r="K195" i="3"/>
  <c r="J195" i="3"/>
  <c r="H195" i="3"/>
  <c r="G195" i="3"/>
  <c r="I195" i="3" s="1"/>
  <c r="F195" i="3"/>
  <c r="E195" i="3"/>
  <c r="D195" i="3"/>
  <c r="C195" i="3"/>
  <c r="K194" i="3"/>
  <c r="J194" i="3"/>
  <c r="H194" i="3"/>
  <c r="G194" i="3"/>
  <c r="I194" i="3" s="1"/>
  <c r="F194" i="3"/>
  <c r="E194" i="3"/>
  <c r="D194" i="3"/>
  <c r="C194" i="3"/>
  <c r="K193" i="3"/>
  <c r="J193" i="3"/>
  <c r="H193" i="3"/>
  <c r="G193" i="3"/>
  <c r="I193" i="3" s="1"/>
  <c r="F193" i="3"/>
  <c r="E193" i="3"/>
  <c r="D193" i="3"/>
  <c r="C193" i="3"/>
  <c r="K192" i="3"/>
  <c r="J192" i="3"/>
  <c r="H192" i="3"/>
  <c r="G192" i="3"/>
  <c r="I192" i="3" s="1"/>
  <c r="F192" i="3"/>
  <c r="E192" i="3"/>
  <c r="D192" i="3"/>
  <c r="C192" i="3"/>
  <c r="K191" i="3"/>
  <c r="J191" i="3"/>
  <c r="H191" i="3"/>
  <c r="G191" i="3"/>
  <c r="I191" i="3" s="1"/>
  <c r="F191" i="3"/>
  <c r="E191" i="3"/>
  <c r="D191" i="3"/>
  <c r="C191" i="3"/>
  <c r="K190" i="3"/>
  <c r="J190" i="3"/>
  <c r="H190" i="3"/>
  <c r="G190" i="3"/>
  <c r="I190" i="3" s="1"/>
  <c r="F190" i="3"/>
  <c r="E190" i="3"/>
  <c r="D190" i="3"/>
  <c r="C190" i="3"/>
  <c r="K189" i="3"/>
  <c r="J189" i="3"/>
  <c r="H189" i="3"/>
  <c r="G189" i="3"/>
  <c r="I189" i="3" s="1"/>
  <c r="F189" i="3"/>
  <c r="E189" i="3"/>
  <c r="D189" i="3"/>
  <c r="C189" i="3"/>
  <c r="K188" i="3"/>
  <c r="J188" i="3"/>
  <c r="H188" i="3"/>
  <c r="G188" i="3"/>
  <c r="I188" i="3" s="1"/>
  <c r="F188" i="3"/>
  <c r="E188" i="3"/>
  <c r="D188" i="3"/>
  <c r="C188" i="3"/>
  <c r="K187" i="3"/>
  <c r="J187" i="3"/>
  <c r="H187" i="3"/>
  <c r="G187" i="3"/>
  <c r="I187" i="3" s="1"/>
  <c r="F187" i="3"/>
  <c r="E187" i="3"/>
  <c r="D187" i="3"/>
  <c r="C187" i="3"/>
  <c r="K186" i="3"/>
  <c r="J186" i="3"/>
  <c r="H186" i="3"/>
  <c r="G186" i="3"/>
  <c r="I186" i="3" s="1"/>
  <c r="F186" i="3"/>
  <c r="E186" i="3"/>
  <c r="D186" i="3"/>
  <c r="C186" i="3"/>
  <c r="K185" i="3"/>
  <c r="J185" i="3"/>
  <c r="H185" i="3"/>
  <c r="G185" i="3"/>
  <c r="I185" i="3" s="1"/>
  <c r="F185" i="3"/>
  <c r="E185" i="3"/>
  <c r="D185" i="3"/>
  <c r="C185" i="3"/>
  <c r="K184" i="3"/>
  <c r="J184" i="3"/>
  <c r="H184" i="3"/>
  <c r="G184" i="3"/>
  <c r="I184" i="3" s="1"/>
  <c r="F184" i="3"/>
  <c r="E184" i="3"/>
  <c r="D184" i="3"/>
  <c r="C184" i="3"/>
  <c r="K183" i="3"/>
  <c r="J183" i="3"/>
  <c r="H183" i="3"/>
  <c r="G183" i="3"/>
  <c r="I183" i="3" s="1"/>
  <c r="F183" i="3"/>
  <c r="E183" i="3"/>
  <c r="D183" i="3"/>
  <c r="C183" i="3"/>
  <c r="K182" i="3"/>
  <c r="J182" i="3"/>
  <c r="H182" i="3"/>
  <c r="G182" i="3"/>
  <c r="I182" i="3" s="1"/>
  <c r="F182" i="3"/>
  <c r="E182" i="3"/>
  <c r="D182" i="3"/>
  <c r="C182" i="3"/>
  <c r="K181" i="3"/>
  <c r="J181" i="3"/>
  <c r="H181" i="3"/>
  <c r="G181" i="3"/>
  <c r="I181" i="3" s="1"/>
  <c r="F181" i="3"/>
  <c r="E181" i="3"/>
  <c r="D181" i="3"/>
  <c r="C181" i="3"/>
  <c r="K180" i="3"/>
  <c r="J180" i="3"/>
  <c r="H180" i="3"/>
  <c r="G180" i="3"/>
  <c r="I180" i="3" s="1"/>
  <c r="F180" i="3"/>
  <c r="E180" i="3"/>
  <c r="D180" i="3"/>
  <c r="C180" i="3"/>
  <c r="K179" i="3"/>
  <c r="J179" i="3"/>
  <c r="H179" i="3"/>
  <c r="G179" i="3"/>
  <c r="I179" i="3" s="1"/>
  <c r="F179" i="3"/>
  <c r="E179" i="3"/>
  <c r="D179" i="3"/>
  <c r="C179" i="3"/>
  <c r="K178" i="3"/>
  <c r="J178" i="3"/>
  <c r="H178" i="3"/>
  <c r="G178" i="3"/>
  <c r="I178" i="3" s="1"/>
  <c r="F178" i="3"/>
  <c r="E178" i="3"/>
  <c r="D178" i="3"/>
  <c r="C178" i="3"/>
  <c r="K177" i="3"/>
  <c r="J177" i="3"/>
  <c r="H177" i="3"/>
  <c r="G177" i="3"/>
  <c r="I177" i="3" s="1"/>
  <c r="F177" i="3"/>
  <c r="E177" i="3"/>
  <c r="D177" i="3"/>
  <c r="C177" i="3"/>
  <c r="K176" i="3"/>
  <c r="J176" i="3"/>
  <c r="H176" i="3"/>
  <c r="G176" i="3"/>
  <c r="I176" i="3" s="1"/>
  <c r="F176" i="3"/>
  <c r="E176" i="3"/>
  <c r="D176" i="3"/>
  <c r="C176" i="3"/>
  <c r="K175" i="3"/>
  <c r="J175" i="3"/>
  <c r="H175" i="3"/>
  <c r="G175" i="3"/>
  <c r="I175" i="3" s="1"/>
  <c r="F175" i="3"/>
  <c r="E175" i="3"/>
  <c r="D175" i="3"/>
  <c r="C175" i="3"/>
  <c r="K174" i="3"/>
  <c r="J174" i="3"/>
  <c r="H174" i="3"/>
  <c r="G174" i="3"/>
  <c r="I174" i="3" s="1"/>
  <c r="F174" i="3"/>
  <c r="E174" i="3"/>
  <c r="D174" i="3"/>
  <c r="C174" i="3"/>
  <c r="K173" i="3"/>
  <c r="J173" i="3"/>
  <c r="H173" i="3"/>
  <c r="G173" i="3"/>
  <c r="I173" i="3" s="1"/>
  <c r="F173" i="3"/>
  <c r="E173" i="3"/>
  <c r="D173" i="3"/>
  <c r="C173" i="3"/>
  <c r="K172" i="3"/>
  <c r="J172" i="3"/>
  <c r="H172" i="3"/>
  <c r="G172" i="3"/>
  <c r="I172" i="3" s="1"/>
  <c r="F172" i="3"/>
  <c r="E172" i="3"/>
  <c r="D172" i="3"/>
  <c r="C172" i="3"/>
  <c r="K171" i="3"/>
  <c r="J171" i="3"/>
  <c r="H171" i="3"/>
  <c r="G171" i="3"/>
  <c r="I171" i="3" s="1"/>
  <c r="F171" i="3"/>
  <c r="E171" i="3"/>
  <c r="D171" i="3"/>
  <c r="C171" i="3"/>
  <c r="K170" i="3"/>
  <c r="J170" i="3"/>
  <c r="H170" i="3"/>
  <c r="G170" i="3"/>
  <c r="I170" i="3" s="1"/>
  <c r="F170" i="3"/>
  <c r="E170" i="3"/>
  <c r="D170" i="3"/>
  <c r="C170" i="3"/>
  <c r="K169" i="3"/>
  <c r="J169" i="3"/>
  <c r="H169" i="3"/>
  <c r="G169" i="3"/>
  <c r="I169" i="3" s="1"/>
  <c r="F169" i="3"/>
  <c r="E169" i="3"/>
  <c r="D169" i="3"/>
  <c r="C169" i="3"/>
  <c r="K168" i="3"/>
  <c r="J168" i="3"/>
  <c r="H168" i="3"/>
  <c r="G168" i="3"/>
  <c r="I168" i="3" s="1"/>
  <c r="F168" i="3"/>
  <c r="E168" i="3"/>
  <c r="D168" i="3"/>
  <c r="C168" i="3"/>
  <c r="K167" i="3"/>
  <c r="J167" i="3"/>
  <c r="H167" i="3"/>
  <c r="G167" i="3"/>
  <c r="I167" i="3" s="1"/>
  <c r="F167" i="3"/>
  <c r="E167" i="3"/>
  <c r="D167" i="3"/>
  <c r="C167" i="3"/>
  <c r="K166" i="3"/>
  <c r="J166" i="3"/>
  <c r="H166" i="3"/>
  <c r="G166" i="3"/>
  <c r="I166" i="3" s="1"/>
  <c r="F166" i="3"/>
  <c r="E166" i="3"/>
  <c r="D166" i="3"/>
  <c r="C166" i="3"/>
  <c r="K165" i="3"/>
  <c r="J165" i="3"/>
  <c r="H165" i="3"/>
  <c r="G165" i="3"/>
  <c r="I165" i="3" s="1"/>
  <c r="F165" i="3"/>
  <c r="E165" i="3"/>
  <c r="D165" i="3"/>
  <c r="C165" i="3"/>
  <c r="K164" i="3"/>
  <c r="J164" i="3"/>
  <c r="H164" i="3"/>
  <c r="G164" i="3"/>
  <c r="I164" i="3" s="1"/>
  <c r="F164" i="3"/>
  <c r="E164" i="3"/>
  <c r="D164" i="3"/>
  <c r="C164" i="3"/>
  <c r="K163" i="3"/>
  <c r="J163" i="3"/>
  <c r="H163" i="3"/>
  <c r="G163" i="3"/>
  <c r="I163" i="3" s="1"/>
  <c r="F163" i="3"/>
  <c r="E163" i="3"/>
  <c r="D163" i="3"/>
  <c r="C163" i="3"/>
  <c r="K162" i="3"/>
  <c r="J162" i="3"/>
  <c r="H162" i="3"/>
  <c r="G162" i="3"/>
  <c r="I162" i="3" s="1"/>
  <c r="F162" i="3"/>
  <c r="E162" i="3"/>
  <c r="D162" i="3"/>
  <c r="C162" i="3"/>
  <c r="K161" i="3"/>
  <c r="J161" i="3"/>
  <c r="H161" i="3"/>
  <c r="G161" i="3"/>
  <c r="I161" i="3" s="1"/>
  <c r="F161" i="3"/>
  <c r="E161" i="3"/>
  <c r="D161" i="3"/>
  <c r="C161" i="3"/>
  <c r="K160" i="3"/>
  <c r="J160" i="3"/>
  <c r="H160" i="3"/>
  <c r="G160" i="3"/>
  <c r="I160" i="3" s="1"/>
  <c r="F160" i="3"/>
  <c r="E160" i="3"/>
  <c r="D160" i="3"/>
  <c r="C160" i="3"/>
  <c r="K159" i="3"/>
  <c r="J159" i="3"/>
  <c r="H159" i="3"/>
  <c r="G159" i="3"/>
  <c r="I159" i="3" s="1"/>
  <c r="F159" i="3"/>
  <c r="E159" i="3"/>
  <c r="D159" i="3"/>
  <c r="C159" i="3"/>
  <c r="K158" i="3"/>
  <c r="J158" i="3"/>
  <c r="H158" i="3"/>
  <c r="G158" i="3"/>
  <c r="I158" i="3" s="1"/>
  <c r="F158" i="3"/>
  <c r="E158" i="3"/>
  <c r="D158" i="3"/>
  <c r="C158" i="3"/>
  <c r="K157" i="3"/>
  <c r="J157" i="3"/>
  <c r="H157" i="3"/>
  <c r="G157" i="3"/>
  <c r="I157" i="3" s="1"/>
  <c r="F157" i="3"/>
  <c r="E157" i="3"/>
  <c r="D157" i="3"/>
  <c r="C157" i="3"/>
  <c r="K156" i="3"/>
  <c r="J156" i="3"/>
  <c r="H156" i="3"/>
  <c r="G156" i="3"/>
  <c r="I156" i="3" s="1"/>
  <c r="F156" i="3"/>
  <c r="E156" i="3"/>
  <c r="D156" i="3"/>
  <c r="C156" i="3"/>
  <c r="K155" i="3"/>
  <c r="J155" i="3"/>
  <c r="H155" i="3"/>
  <c r="G155" i="3"/>
  <c r="I155" i="3" s="1"/>
  <c r="F155" i="3"/>
  <c r="E155" i="3"/>
  <c r="D155" i="3"/>
  <c r="C155" i="3"/>
  <c r="K154" i="3"/>
  <c r="J154" i="3"/>
  <c r="H154" i="3"/>
  <c r="G154" i="3"/>
  <c r="I154" i="3" s="1"/>
  <c r="F154" i="3"/>
  <c r="E154" i="3"/>
  <c r="D154" i="3"/>
  <c r="C154" i="3"/>
  <c r="K153" i="3"/>
  <c r="J153" i="3"/>
  <c r="H153" i="3"/>
  <c r="G153" i="3"/>
  <c r="I153" i="3" s="1"/>
  <c r="F153" i="3"/>
  <c r="E153" i="3"/>
  <c r="D153" i="3"/>
  <c r="C153" i="3"/>
  <c r="K152" i="3"/>
  <c r="J152" i="3"/>
  <c r="H152" i="3"/>
  <c r="G152" i="3"/>
  <c r="I152" i="3" s="1"/>
  <c r="F152" i="3"/>
  <c r="E152" i="3"/>
  <c r="D152" i="3"/>
  <c r="C152" i="3"/>
  <c r="K151" i="3"/>
  <c r="J151" i="3"/>
  <c r="H151" i="3"/>
  <c r="G151" i="3"/>
  <c r="I151" i="3" s="1"/>
  <c r="F151" i="3"/>
  <c r="E151" i="3"/>
  <c r="D151" i="3"/>
  <c r="C151" i="3"/>
  <c r="K150" i="3"/>
  <c r="J150" i="3"/>
  <c r="H150" i="3"/>
  <c r="G150" i="3"/>
  <c r="I150" i="3" s="1"/>
  <c r="F150" i="3"/>
  <c r="E150" i="3"/>
  <c r="D150" i="3"/>
  <c r="C150" i="3"/>
  <c r="K149" i="3"/>
  <c r="J149" i="3"/>
  <c r="H149" i="3"/>
  <c r="G149" i="3"/>
  <c r="I149" i="3" s="1"/>
  <c r="F149" i="3"/>
  <c r="E149" i="3"/>
  <c r="D149" i="3"/>
  <c r="C149" i="3"/>
  <c r="K148" i="3"/>
  <c r="J148" i="3"/>
  <c r="H148" i="3"/>
  <c r="G148" i="3"/>
  <c r="I148" i="3" s="1"/>
  <c r="F148" i="3"/>
  <c r="E148" i="3"/>
  <c r="D148" i="3"/>
  <c r="C148" i="3"/>
  <c r="K147" i="3"/>
  <c r="J147" i="3"/>
  <c r="H147" i="3"/>
  <c r="G147" i="3"/>
  <c r="I147" i="3" s="1"/>
  <c r="F147" i="3"/>
  <c r="E147" i="3"/>
  <c r="D147" i="3"/>
  <c r="C147" i="3"/>
  <c r="K146" i="3"/>
  <c r="J146" i="3"/>
  <c r="H146" i="3"/>
  <c r="G146" i="3"/>
  <c r="I146" i="3" s="1"/>
  <c r="F146" i="3"/>
  <c r="E146" i="3"/>
  <c r="D146" i="3"/>
  <c r="C146" i="3"/>
  <c r="K145" i="3"/>
  <c r="J145" i="3"/>
  <c r="H145" i="3"/>
  <c r="G145" i="3"/>
  <c r="I145" i="3" s="1"/>
  <c r="F145" i="3"/>
  <c r="E145" i="3"/>
  <c r="D145" i="3"/>
  <c r="C145" i="3"/>
  <c r="K144" i="3"/>
  <c r="J144" i="3"/>
  <c r="H144" i="3"/>
  <c r="G144" i="3"/>
  <c r="I144" i="3" s="1"/>
  <c r="F144" i="3"/>
  <c r="E144" i="3"/>
  <c r="D144" i="3"/>
  <c r="C144" i="3"/>
  <c r="K143" i="3"/>
  <c r="J143" i="3"/>
  <c r="H143" i="3"/>
  <c r="G143" i="3"/>
  <c r="I143" i="3" s="1"/>
  <c r="F143" i="3"/>
  <c r="E143" i="3"/>
  <c r="D143" i="3"/>
  <c r="C143" i="3"/>
  <c r="K142" i="3"/>
  <c r="J142" i="3"/>
  <c r="H142" i="3"/>
  <c r="G142" i="3"/>
  <c r="I142" i="3" s="1"/>
  <c r="F142" i="3"/>
  <c r="E142" i="3"/>
  <c r="D142" i="3"/>
  <c r="C142" i="3"/>
  <c r="K141" i="3"/>
  <c r="J141" i="3"/>
  <c r="H141" i="3"/>
  <c r="G141" i="3"/>
  <c r="I141" i="3" s="1"/>
  <c r="F141" i="3"/>
  <c r="E141" i="3"/>
  <c r="D141" i="3"/>
  <c r="C141" i="3"/>
  <c r="K140" i="3"/>
  <c r="J140" i="3"/>
  <c r="H140" i="3"/>
  <c r="G140" i="3"/>
  <c r="I140" i="3" s="1"/>
  <c r="F140" i="3"/>
  <c r="E140" i="3"/>
  <c r="D140" i="3"/>
  <c r="C140" i="3"/>
  <c r="K139" i="3"/>
  <c r="J139" i="3"/>
  <c r="H139" i="3"/>
  <c r="G139" i="3"/>
  <c r="I139" i="3" s="1"/>
  <c r="F139" i="3"/>
  <c r="E139" i="3"/>
  <c r="D139" i="3"/>
  <c r="C139" i="3"/>
  <c r="K138" i="3"/>
  <c r="J138" i="3"/>
  <c r="H138" i="3"/>
  <c r="G138" i="3"/>
  <c r="I138" i="3" s="1"/>
  <c r="F138" i="3"/>
  <c r="E138" i="3"/>
  <c r="D138" i="3"/>
  <c r="C138" i="3"/>
  <c r="K137" i="3"/>
  <c r="J137" i="3"/>
  <c r="H137" i="3"/>
  <c r="G137" i="3"/>
  <c r="I137" i="3" s="1"/>
  <c r="F137" i="3"/>
  <c r="E137" i="3"/>
  <c r="D137" i="3"/>
  <c r="C137" i="3"/>
  <c r="K136" i="3"/>
  <c r="J136" i="3"/>
  <c r="H136" i="3"/>
  <c r="G136" i="3"/>
  <c r="I136" i="3" s="1"/>
  <c r="F136" i="3"/>
  <c r="E136" i="3"/>
  <c r="D136" i="3"/>
  <c r="C136" i="3"/>
  <c r="K135" i="3"/>
  <c r="J135" i="3"/>
  <c r="H135" i="3"/>
  <c r="G135" i="3"/>
  <c r="I135" i="3" s="1"/>
  <c r="F135" i="3"/>
  <c r="E135" i="3"/>
  <c r="D135" i="3"/>
  <c r="C135" i="3"/>
  <c r="K134" i="3"/>
  <c r="J134" i="3"/>
  <c r="H134" i="3"/>
  <c r="G134" i="3"/>
  <c r="I134" i="3" s="1"/>
  <c r="F134" i="3"/>
  <c r="E134" i="3"/>
  <c r="D134" i="3"/>
  <c r="C134" i="3"/>
  <c r="K133" i="3"/>
  <c r="J133" i="3"/>
  <c r="H133" i="3"/>
  <c r="G133" i="3"/>
  <c r="I133" i="3" s="1"/>
  <c r="F133" i="3"/>
  <c r="E133" i="3"/>
  <c r="D133" i="3"/>
  <c r="C133" i="3"/>
  <c r="K132" i="3"/>
  <c r="J132" i="3"/>
  <c r="H132" i="3"/>
  <c r="G132" i="3"/>
  <c r="I132" i="3" s="1"/>
  <c r="F132" i="3"/>
  <c r="E132" i="3"/>
  <c r="D132" i="3"/>
  <c r="C132" i="3"/>
  <c r="K131" i="3"/>
  <c r="J131" i="3"/>
  <c r="H131" i="3"/>
  <c r="G131" i="3"/>
  <c r="I131" i="3" s="1"/>
  <c r="F131" i="3"/>
  <c r="E131" i="3"/>
  <c r="D131" i="3"/>
  <c r="C131" i="3"/>
  <c r="K130" i="3"/>
  <c r="J130" i="3"/>
  <c r="H130" i="3"/>
  <c r="G130" i="3"/>
  <c r="I130" i="3" s="1"/>
  <c r="F130" i="3"/>
  <c r="E130" i="3"/>
  <c r="D130" i="3"/>
  <c r="C130" i="3"/>
  <c r="K129" i="3"/>
  <c r="J129" i="3"/>
  <c r="H129" i="3"/>
  <c r="G129" i="3"/>
  <c r="I129" i="3" s="1"/>
  <c r="F129" i="3"/>
  <c r="E129" i="3"/>
  <c r="D129" i="3"/>
  <c r="C129" i="3"/>
  <c r="K128" i="3"/>
  <c r="J128" i="3"/>
  <c r="H128" i="3"/>
  <c r="G128" i="3"/>
  <c r="I128" i="3" s="1"/>
  <c r="F128" i="3"/>
  <c r="E128" i="3"/>
  <c r="D128" i="3"/>
  <c r="C128" i="3"/>
  <c r="K127" i="3"/>
  <c r="J127" i="3"/>
  <c r="H127" i="3"/>
  <c r="G127" i="3"/>
  <c r="I127" i="3" s="1"/>
  <c r="F127" i="3"/>
  <c r="E127" i="3"/>
  <c r="D127" i="3"/>
  <c r="C127" i="3"/>
  <c r="K126" i="3"/>
  <c r="J126" i="3"/>
  <c r="H126" i="3"/>
  <c r="G126" i="3"/>
  <c r="I126" i="3" s="1"/>
  <c r="F126" i="3"/>
  <c r="E126" i="3"/>
  <c r="D126" i="3"/>
  <c r="C126" i="3"/>
  <c r="K125" i="3"/>
  <c r="J125" i="3"/>
  <c r="H125" i="3"/>
  <c r="G125" i="3"/>
  <c r="I125" i="3" s="1"/>
  <c r="F125" i="3"/>
  <c r="E125" i="3"/>
  <c r="D125" i="3"/>
  <c r="C125" i="3"/>
  <c r="K124" i="3"/>
  <c r="J124" i="3"/>
  <c r="H124" i="3"/>
  <c r="G124" i="3"/>
  <c r="I124" i="3" s="1"/>
  <c r="F124" i="3"/>
  <c r="E124" i="3"/>
  <c r="D124" i="3"/>
  <c r="C124" i="3"/>
  <c r="K123" i="3"/>
  <c r="J123" i="3"/>
  <c r="H123" i="3"/>
  <c r="G123" i="3"/>
  <c r="I123" i="3" s="1"/>
  <c r="F123" i="3"/>
  <c r="E123" i="3"/>
  <c r="D123" i="3"/>
  <c r="C123" i="3"/>
  <c r="K122" i="3"/>
  <c r="J122" i="3"/>
  <c r="H122" i="3"/>
  <c r="G122" i="3"/>
  <c r="I122" i="3" s="1"/>
  <c r="F122" i="3"/>
  <c r="E122" i="3"/>
  <c r="D122" i="3"/>
  <c r="C122" i="3"/>
  <c r="K121" i="3"/>
  <c r="J121" i="3"/>
  <c r="H121" i="3"/>
  <c r="G121" i="3"/>
  <c r="I121" i="3" s="1"/>
  <c r="F121" i="3"/>
  <c r="E121" i="3"/>
  <c r="D121" i="3"/>
  <c r="C121" i="3"/>
  <c r="K120" i="3"/>
  <c r="J120" i="3"/>
  <c r="H120" i="3"/>
  <c r="G120" i="3"/>
  <c r="I120" i="3" s="1"/>
  <c r="F120" i="3"/>
  <c r="E120" i="3"/>
  <c r="D120" i="3"/>
  <c r="C120" i="3"/>
  <c r="K119" i="3"/>
  <c r="J119" i="3"/>
  <c r="H119" i="3"/>
  <c r="G119" i="3"/>
  <c r="I119" i="3" s="1"/>
  <c r="F119" i="3"/>
  <c r="E119" i="3"/>
  <c r="D119" i="3"/>
  <c r="C119" i="3"/>
  <c r="K118" i="3"/>
  <c r="J118" i="3"/>
  <c r="H118" i="3"/>
  <c r="G118" i="3"/>
  <c r="I118" i="3" s="1"/>
  <c r="F118" i="3"/>
  <c r="E118" i="3"/>
  <c r="D118" i="3"/>
  <c r="C118" i="3"/>
  <c r="K117" i="3"/>
  <c r="J117" i="3"/>
  <c r="H117" i="3"/>
  <c r="G117" i="3"/>
  <c r="I117" i="3" s="1"/>
  <c r="F117" i="3"/>
  <c r="E117" i="3"/>
  <c r="D117" i="3"/>
  <c r="C117" i="3"/>
  <c r="K116" i="3"/>
  <c r="J116" i="3"/>
  <c r="H116" i="3"/>
  <c r="G116" i="3"/>
  <c r="I116" i="3" s="1"/>
  <c r="F116" i="3"/>
  <c r="E116" i="3"/>
  <c r="D116" i="3"/>
  <c r="C116" i="3"/>
  <c r="K115" i="3"/>
  <c r="J115" i="3"/>
  <c r="H115" i="3"/>
  <c r="G115" i="3"/>
  <c r="I115" i="3" s="1"/>
  <c r="F115" i="3"/>
  <c r="E115" i="3"/>
  <c r="D115" i="3"/>
  <c r="C115" i="3"/>
  <c r="K114" i="3"/>
  <c r="J114" i="3"/>
  <c r="H114" i="3"/>
  <c r="G114" i="3"/>
  <c r="I114" i="3" s="1"/>
  <c r="F114" i="3"/>
  <c r="E114" i="3"/>
  <c r="D114" i="3"/>
  <c r="C114" i="3"/>
  <c r="K113" i="3"/>
  <c r="J113" i="3"/>
  <c r="H113" i="3"/>
  <c r="G113" i="3"/>
  <c r="I113" i="3" s="1"/>
  <c r="F113" i="3"/>
  <c r="E113" i="3"/>
  <c r="D113" i="3"/>
  <c r="C113" i="3"/>
  <c r="K112" i="3"/>
  <c r="J112" i="3"/>
  <c r="H112" i="3"/>
  <c r="G112" i="3"/>
  <c r="I112" i="3" s="1"/>
  <c r="F112" i="3"/>
  <c r="E112" i="3"/>
  <c r="D112" i="3"/>
  <c r="C112" i="3"/>
  <c r="K111" i="3"/>
  <c r="J111" i="3"/>
  <c r="H111" i="3"/>
  <c r="G111" i="3"/>
  <c r="I111" i="3" s="1"/>
  <c r="F111" i="3"/>
  <c r="E111" i="3"/>
  <c r="D111" i="3"/>
  <c r="C111" i="3"/>
  <c r="K110" i="3"/>
  <c r="J110" i="3"/>
  <c r="H110" i="3"/>
  <c r="G110" i="3"/>
  <c r="I110" i="3" s="1"/>
  <c r="F110" i="3"/>
  <c r="E110" i="3"/>
  <c r="D110" i="3"/>
  <c r="C110" i="3"/>
  <c r="K109" i="3"/>
  <c r="J109" i="3"/>
  <c r="H109" i="3"/>
  <c r="G109" i="3"/>
  <c r="I109" i="3" s="1"/>
  <c r="F109" i="3"/>
  <c r="E109" i="3"/>
  <c r="D109" i="3"/>
  <c r="C109" i="3"/>
  <c r="K108" i="3"/>
  <c r="J108" i="3"/>
  <c r="H108" i="3"/>
  <c r="G108" i="3"/>
  <c r="I108" i="3" s="1"/>
  <c r="F108" i="3"/>
  <c r="E108" i="3"/>
  <c r="D108" i="3"/>
  <c r="C108" i="3"/>
  <c r="K107" i="3"/>
  <c r="J107" i="3"/>
  <c r="H107" i="3"/>
  <c r="G107" i="3"/>
  <c r="I107" i="3" s="1"/>
  <c r="F107" i="3"/>
  <c r="E107" i="3"/>
  <c r="D107" i="3"/>
  <c r="C107" i="3"/>
  <c r="K106" i="3"/>
  <c r="J106" i="3"/>
  <c r="H106" i="3"/>
  <c r="G106" i="3"/>
  <c r="I106" i="3" s="1"/>
  <c r="F106" i="3"/>
  <c r="E106" i="3"/>
  <c r="D106" i="3"/>
  <c r="C106" i="3"/>
  <c r="K105" i="3"/>
  <c r="J105" i="3"/>
  <c r="H105" i="3"/>
  <c r="G105" i="3"/>
  <c r="I105" i="3" s="1"/>
  <c r="F105" i="3"/>
  <c r="E105" i="3"/>
  <c r="D105" i="3"/>
  <c r="C105" i="3"/>
  <c r="K104" i="3"/>
  <c r="J104" i="3"/>
  <c r="H104" i="3"/>
  <c r="G104" i="3"/>
  <c r="I104" i="3" s="1"/>
  <c r="F104" i="3"/>
  <c r="E104" i="3"/>
  <c r="D104" i="3"/>
  <c r="C104" i="3"/>
  <c r="K103" i="3"/>
  <c r="J103" i="3"/>
  <c r="H103" i="3"/>
  <c r="G103" i="3"/>
  <c r="I103" i="3" s="1"/>
  <c r="F103" i="3"/>
  <c r="E103" i="3"/>
  <c r="D103" i="3"/>
  <c r="C103" i="3"/>
  <c r="K102" i="3"/>
  <c r="J102" i="3"/>
  <c r="H102" i="3"/>
  <c r="G102" i="3"/>
  <c r="I102" i="3" s="1"/>
  <c r="F102" i="3"/>
  <c r="E102" i="3"/>
  <c r="D102" i="3"/>
  <c r="C102" i="3"/>
  <c r="K101" i="3"/>
  <c r="J101" i="3"/>
  <c r="H101" i="3"/>
  <c r="G101" i="3"/>
  <c r="I101" i="3" s="1"/>
  <c r="F101" i="3"/>
  <c r="E101" i="3"/>
  <c r="D101" i="3"/>
  <c r="C101" i="3"/>
  <c r="K100" i="3"/>
  <c r="J100" i="3"/>
  <c r="H100" i="3"/>
  <c r="G100" i="3"/>
  <c r="I100" i="3" s="1"/>
  <c r="F100" i="3"/>
  <c r="E100" i="3"/>
  <c r="D100" i="3"/>
  <c r="C100" i="3"/>
  <c r="K99" i="3"/>
  <c r="J99" i="3"/>
  <c r="H99" i="3"/>
  <c r="G99" i="3"/>
  <c r="I99" i="3" s="1"/>
  <c r="F99" i="3"/>
  <c r="E99" i="3"/>
  <c r="D99" i="3"/>
  <c r="C99" i="3"/>
  <c r="K98" i="3"/>
  <c r="J98" i="3"/>
  <c r="H98" i="3"/>
  <c r="G98" i="3"/>
  <c r="I98" i="3" s="1"/>
  <c r="F98" i="3"/>
  <c r="E98" i="3"/>
  <c r="D98" i="3"/>
  <c r="C98" i="3"/>
  <c r="K97" i="3"/>
  <c r="J97" i="3"/>
  <c r="H97" i="3"/>
  <c r="G97" i="3"/>
  <c r="I97" i="3" s="1"/>
  <c r="F97" i="3"/>
  <c r="E97" i="3"/>
  <c r="D97" i="3"/>
  <c r="C97" i="3"/>
  <c r="K96" i="3"/>
  <c r="J96" i="3"/>
  <c r="H96" i="3"/>
  <c r="G96" i="3"/>
  <c r="I96" i="3" s="1"/>
  <c r="F96" i="3"/>
  <c r="E96" i="3"/>
  <c r="D96" i="3"/>
  <c r="C96" i="3"/>
  <c r="K95" i="3"/>
  <c r="J95" i="3"/>
  <c r="H95" i="3"/>
  <c r="G95" i="3"/>
  <c r="I95" i="3" s="1"/>
  <c r="F95" i="3"/>
  <c r="E95" i="3"/>
  <c r="D95" i="3"/>
  <c r="C95" i="3"/>
  <c r="K94" i="3"/>
  <c r="J94" i="3"/>
  <c r="H94" i="3"/>
  <c r="G94" i="3"/>
  <c r="I94" i="3" s="1"/>
  <c r="F94" i="3"/>
  <c r="E94" i="3"/>
  <c r="D94" i="3"/>
  <c r="C94" i="3"/>
  <c r="K93" i="3"/>
  <c r="J93" i="3"/>
  <c r="H93" i="3"/>
  <c r="G93" i="3"/>
  <c r="I93" i="3" s="1"/>
  <c r="F93" i="3"/>
  <c r="E93" i="3"/>
  <c r="D93" i="3"/>
  <c r="C93" i="3"/>
  <c r="K92" i="3"/>
  <c r="J92" i="3"/>
  <c r="H92" i="3"/>
  <c r="G92" i="3"/>
  <c r="I92" i="3" s="1"/>
  <c r="F92" i="3"/>
  <c r="E92" i="3"/>
  <c r="D92" i="3"/>
  <c r="C92" i="3"/>
  <c r="K91" i="3"/>
  <c r="J91" i="3"/>
  <c r="H91" i="3"/>
  <c r="G91" i="3"/>
  <c r="I91" i="3" s="1"/>
  <c r="F91" i="3"/>
  <c r="E91" i="3"/>
  <c r="D91" i="3"/>
  <c r="C91" i="3"/>
  <c r="K90" i="3"/>
  <c r="J90" i="3"/>
  <c r="H90" i="3"/>
  <c r="G90" i="3"/>
  <c r="I90" i="3" s="1"/>
  <c r="F90" i="3"/>
  <c r="E90" i="3"/>
  <c r="D90" i="3"/>
  <c r="C90" i="3"/>
  <c r="K89" i="3"/>
  <c r="J89" i="3"/>
  <c r="H89" i="3"/>
  <c r="G89" i="3"/>
  <c r="I89" i="3" s="1"/>
  <c r="F89" i="3"/>
  <c r="E89" i="3"/>
  <c r="D89" i="3"/>
  <c r="C89" i="3"/>
  <c r="K88" i="3"/>
  <c r="J88" i="3"/>
  <c r="H88" i="3"/>
  <c r="G88" i="3"/>
  <c r="I88" i="3" s="1"/>
  <c r="F88" i="3"/>
  <c r="E88" i="3"/>
  <c r="D88" i="3"/>
  <c r="C88" i="3"/>
  <c r="K87" i="3"/>
  <c r="J87" i="3"/>
  <c r="H87" i="3"/>
  <c r="G87" i="3"/>
  <c r="I87" i="3" s="1"/>
  <c r="F87" i="3"/>
  <c r="E87" i="3"/>
  <c r="D87" i="3"/>
  <c r="C87" i="3"/>
  <c r="K86" i="3"/>
  <c r="J86" i="3"/>
  <c r="H86" i="3"/>
  <c r="G86" i="3"/>
  <c r="I86" i="3" s="1"/>
  <c r="F86" i="3"/>
  <c r="E86" i="3"/>
  <c r="D86" i="3"/>
  <c r="C86" i="3"/>
  <c r="K85" i="3"/>
  <c r="J85" i="3"/>
  <c r="H85" i="3"/>
  <c r="G85" i="3"/>
  <c r="I85" i="3" s="1"/>
  <c r="F85" i="3"/>
  <c r="E85" i="3"/>
  <c r="D85" i="3"/>
  <c r="C85" i="3"/>
  <c r="K84" i="3"/>
  <c r="J84" i="3"/>
  <c r="H84" i="3"/>
  <c r="G84" i="3"/>
  <c r="I84" i="3" s="1"/>
  <c r="F84" i="3"/>
  <c r="E84" i="3"/>
  <c r="D84" i="3"/>
  <c r="C84" i="3"/>
  <c r="K83" i="3"/>
  <c r="J83" i="3"/>
  <c r="H83" i="3"/>
  <c r="G83" i="3"/>
  <c r="I83" i="3" s="1"/>
  <c r="F83" i="3"/>
  <c r="E83" i="3"/>
  <c r="D83" i="3"/>
  <c r="C83" i="3"/>
  <c r="K82" i="3"/>
  <c r="J82" i="3"/>
  <c r="H82" i="3"/>
  <c r="G82" i="3"/>
  <c r="I82" i="3" s="1"/>
  <c r="F82" i="3"/>
  <c r="E82" i="3"/>
  <c r="D82" i="3"/>
  <c r="C82" i="3"/>
  <c r="K81" i="3"/>
  <c r="J81" i="3"/>
  <c r="H81" i="3"/>
  <c r="G81" i="3"/>
  <c r="F81" i="3"/>
  <c r="E81" i="3"/>
  <c r="D81" i="3"/>
  <c r="C81" i="3"/>
  <c r="K80" i="3"/>
  <c r="J80" i="3"/>
  <c r="H80" i="3"/>
  <c r="G80" i="3"/>
  <c r="F80" i="3"/>
  <c r="E80" i="3"/>
  <c r="D80" i="3"/>
  <c r="C80" i="3"/>
  <c r="K79" i="3"/>
  <c r="J79" i="3"/>
  <c r="H79" i="3"/>
  <c r="G79" i="3"/>
  <c r="F79" i="3"/>
  <c r="E79" i="3"/>
  <c r="D79" i="3"/>
  <c r="C79" i="3"/>
  <c r="K78" i="3"/>
  <c r="J78" i="3"/>
  <c r="H78" i="3"/>
  <c r="G78" i="3"/>
  <c r="F78" i="3"/>
  <c r="E78" i="3"/>
  <c r="D78" i="3"/>
  <c r="C78" i="3"/>
  <c r="K77" i="3"/>
  <c r="J77" i="3"/>
  <c r="H77" i="3"/>
  <c r="G77" i="3"/>
  <c r="F77" i="3"/>
  <c r="E77" i="3"/>
  <c r="D77" i="3"/>
  <c r="C77" i="3"/>
  <c r="K76" i="3"/>
  <c r="J76" i="3"/>
  <c r="H76" i="3"/>
  <c r="G76" i="3"/>
  <c r="F76" i="3"/>
  <c r="E76" i="3"/>
  <c r="D76" i="3"/>
  <c r="C76" i="3"/>
  <c r="K75" i="3"/>
  <c r="J75" i="3"/>
  <c r="H75" i="3"/>
  <c r="G75" i="3"/>
  <c r="F75" i="3"/>
  <c r="E75" i="3"/>
  <c r="D75" i="3"/>
  <c r="C75" i="3"/>
  <c r="K74" i="3"/>
  <c r="J74" i="3"/>
  <c r="H74" i="3"/>
  <c r="G74" i="3"/>
  <c r="F74" i="3"/>
  <c r="E74" i="3"/>
  <c r="D74" i="3"/>
  <c r="C74" i="3"/>
  <c r="K73" i="3"/>
  <c r="J73" i="3"/>
  <c r="H73" i="3"/>
  <c r="G73" i="3"/>
  <c r="F73" i="3"/>
  <c r="E73" i="3"/>
  <c r="D73" i="3"/>
  <c r="C73" i="3"/>
  <c r="K72" i="3"/>
  <c r="J72" i="3"/>
  <c r="H72" i="3"/>
  <c r="G72" i="3"/>
  <c r="F72" i="3"/>
  <c r="E72" i="3"/>
  <c r="D72" i="3"/>
  <c r="C72" i="3"/>
  <c r="K71" i="3"/>
  <c r="J71" i="3"/>
  <c r="H71" i="3"/>
  <c r="G71" i="3"/>
  <c r="F71" i="3"/>
  <c r="E71" i="3"/>
  <c r="D71" i="3"/>
  <c r="C71" i="3"/>
  <c r="K70" i="3"/>
  <c r="J70" i="3"/>
  <c r="H70" i="3"/>
  <c r="G70" i="3"/>
  <c r="F70" i="3"/>
  <c r="E70" i="3"/>
  <c r="D70" i="3"/>
  <c r="C70" i="3"/>
  <c r="K69" i="3"/>
  <c r="J69" i="3"/>
  <c r="H69" i="3"/>
  <c r="G69" i="3"/>
  <c r="F69" i="3"/>
  <c r="E69" i="3"/>
  <c r="D69" i="3"/>
  <c r="C69" i="3"/>
  <c r="K68" i="3"/>
  <c r="J68" i="3"/>
  <c r="H68" i="3"/>
  <c r="G68" i="3"/>
  <c r="F68" i="3"/>
  <c r="E68" i="3"/>
  <c r="D68" i="3"/>
  <c r="C68" i="3"/>
  <c r="K67" i="3"/>
  <c r="J67" i="3"/>
  <c r="H67" i="3"/>
  <c r="G67" i="3"/>
  <c r="F67" i="3"/>
  <c r="E67" i="3"/>
  <c r="D67" i="3"/>
  <c r="C67" i="3"/>
  <c r="K66" i="3"/>
  <c r="J66" i="3"/>
  <c r="H66" i="3"/>
  <c r="G66" i="3"/>
  <c r="F66" i="3"/>
  <c r="E66" i="3"/>
  <c r="D66" i="3"/>
  <c r="C66" i="3"/>
  <c r="K65" i="3"/>
  <c r="J65" i="3"/>
  <c r="H65" i="3"/>
  <c r="G65" i="3"/>
  <c r="F65" i="3"/>
  <c r="E65" i="3"/>
  <c r="D65" i="3"/>
  <c r="C65" i="3"/>
  <c r="K64" i="3"/>
  <c r="J64" i="3"/>
  <c r="H64" i="3"/>
  <c r="G64" i="3"/>
  <c r="F64" i="3"/>
  <c r="E64" i="3"/>
  <c r="D64" i="3"/>
  <c r="C64" i="3"/>
  <c r="K63" i="3"/>
  <c r="J63" i="3"/>
  <c r="H63" i="3"/>
  <c r="G63" i="3"/>
  <c r="F63" i="3"/>
  <c r="E63" i="3"/>
  <c r="D63" i="3"/>
  <c r="C63" i="3"/>
  <c r="K62" i="3"/>
  <c r="J62" i="3"/>
  <c r="H62" i="3"/>
  <c r="G62" i="3"/>
  <c r="F62" i="3"/>
  <c r="E62" i="3"/>
  <c r="D62" i="3"/>
  <c r="C62" i="3"/>
  <c r="K61" i="3"/>
  <c r="J61" i="3"/>
  <c r="H61" i="3"/>
  <c r="G61" i="3"/>
  <c r="F61" i="3"/>
  <c r="E61" i="3"/>
  <c r="D61" i="3"/>
  <c r="C61" i="3"/>
  <c r="K60" i="3"/>
  <c r="J60" i="3"/>
  <c r="H60" i="3"/>
  <c r="G60" i="3"/>
  <c r="F60" i="3"/>
  <c r="E60" i="3"/>
  <c r="D60" i="3"/>
  <c r="C60" i="3"/>
  <c r="K59" i="3"/>
  <c r="J59" i="3"/>
  <c r="H59" i="3"/>
  <c r="G59" i="3"/>
  <c r="F59" i="3"/>
  <c r="E59" i="3"/>
  <c r="D59" i="3"/>
  <c r="C59" i="3"/>
  <c r="K58" i="3"/>
  <c r="J58" i="3"/>
  <c r="H58" i="3"/>
  <c r="G58" i="3"/>
  <c r="F58" i="3"/>
  <c r="E58" i="3"/>
  <c r="D58" i="3"/>
  <c r="C58" i="3"/>
  <c r="K57" i="3"/>
  <c r="J57" i="3"/>
  <c r="H57" i="3"/>
  <c r="G57" i="3"/>
  <c r="F57" i="3"/>
  <c r="E57" i="3"/>
  <c r="D57" i="3"/>
  <c r="C57" i="3"/>
  <c r="K56" i="3"/>
  <c r="J56" i="3"/>
  <c r="H56" i="3"/>
  <c r="G56" i="3"/>
  <c r="F56" i="3"/>
  <c r="E56" i="3"/>
  <c r="D56" i="3"/>
  <c r="C56" i="3"/>
  <c r="K55" i="3"/>
  <c r="J55" i="3"/>
  <c r="H55" i="3"/>
  <c r="G55" i="3"/>
  <c r="F55" i="3"/>
  <c r="E55" i="3"/>
  <c r="D55" i="3"/>
  <c r="C55" i="3"/>
  <c r="K54" i="3"/>
  <c r="J54" i="3"/>
  <c r="H54" i="3"/>
  <c r="G54" i="3"/>
  <c r="F54" i="3"/>
  <c r="E54" i="3"/>
  <c r="D54" i="3"/>
  <c r="C54" i="3"/>
  <c r="K53" i="3"/>
  <c r="J53" i="3"/>
  <c r="H53" i="3"/>
  <c r="G53" i="3"/>
  <c r="F53" i="3"/>
  <c r="E53" i="3"/>
  <c r="D53" i="3"/>
  <c r="C53" i="3"/>
  <c r="K52" i="3"/>
  <c r="J52" i="3"/>
  <c r="H52" i="3"/>
  <c r="G52" i="3"/>
  <c r="F52" i="3"/>
  <c r="E52" i="3"/>
  <c r="D52" i="3"/>
  <c r="C52" i="3"/>
  <c r="K51" i="3"/>
  <c r="J51" i="3"/>
  <c r="H51" i="3"/>
  <c r="G51" i="3"/>
  <c r="F51" i="3"/>
  <c r="E51" i="3"/>
  <c r="D51" i="3"/>
  <c r="C51" i="3"/>
  <c r="K50" i="3"/>
  <c r="J50" i="3"/>
  <c r="H50" i="3"/>
  <c r="G50" i="3"/>
  <c r="F50" i="3"/>
  <c r="E50" i="3"/>
  <c r="D50" i="3"/>
  <c r="C50" i="3"/>
  <c r="K49" i="3"/>
  <c r="J49" i="3"/>
  <c r="H49" i="3"/>
  <c r="G49" i="3"/>
  <c r="F49" i="3"/>
  <c r="E49" i="3"/>
  <c r="D49" i="3"/>
  <c r="C49" i="3"/>
  <c r="K48" i="3"/>
  <c r="J48" i="3"/>
  <c r="H48" i="3"/>
  <c r="G48" i="3"/>
  <c r="F48" i="3"/>
  <c r="E48" i="3"/>
  <c r="D48" i="3"/>
  <c r="C48" i="3"/>
  <c r="K47" i="3"/>
  <c r="J47" i="3"/>
  <c r="H47" i="3"/>
  <c r="G47" i="3"/>
  <c r="F47" i="3"/>
  <c r="E47" i="3"/>
  <c r="D47" i="3"/>
  <c r="C47" i="3"/>
  <c r="K46" i="3"/>
  <c r="J46" i="3"/>
  <c r="H46" i="3"/>
  <c r="G46" i="3"/>
  <c r="F46" i="3"/>
  <c r="E46" i="3"/>
  <c r="D46" i="3"/>
  <c r="C46" i="3"/>
  <c r="K45" i="3"/>
  <c r="J45" i="3"/>
  <c r="H45" i="3"/>
  <c r="G45" i="3"/>
  <c r="F45" i="3"/>
  <c r="E45" i="3"/>
  <c r="D45" i="3"/>
  <c r="C45" i="3"/>
  <c r="K44" i="3"/>
  <c r="J44" i="3"/>
  <c r="H44" i="3"/>
  <c r="G44" i="3"/>
  <c r="F44" i="3"/>
  <c r="E44" i="3"/>
  <c r="D44" i="3"/>
  <c r="C44" i="3"/>
  <c r="K43" i="3"/>
  <c r="J43" i="3"/>
  <c r="H43" i="3"/>
  <c r="G43" i="3"/>
  <c r="F43" i="3"/>
  <c r="E43" i="3"/>
  <c r="D43" i="3"/>
  <c r="C43" i="3"/>
  <c r="K42" i="3"/>
  <c r="J42" i="3"/>
  <c r="H42" i="3"/>
  <c r="G42" i="3"/>
  <c r="F42" i="3"/>
  <c r="E42" i="3"/>
  <c r="D42" i="3"/>
  <c r="C42" i="3"/>
  <c r="K41" i="3"/>
  <c r="J41" i="3"/>
  <c r="H41" i="3"/>
  <c r="G41" i="3"/>
  <c r="F41" i="3"/>
  <c r="E41" i="3"/>
  <c r="D41" i="3"/>
  <c r="C41" i="3"/>
  <c r="K40" i="3"/>
  <c r="J40" i="3"/>
  <c r="H40" i="3"/>
  <c r="G40" i="3"/>
  <c r="F40" i="3"/>
  <c r="E40" i="3"/>
  <c r="D40" i="3"/>
  <c r="C40" i="3"/>
  <c r="K39" i="3"/>
  <c r="J39" i="3"/>
  <c r="H39" i="3"/>
  <c r="G39" i="3"/>
  <c r="F39" i="3"/>
  <c r="E39" i="3"/>
  <c r="D39" i="3"/>
  <c r="C39" i="3"/>
  <c r="K38" i="3"/>
  <c r="J38" i="3"/>
  <c r="H38" i="3"/>
  <c r="G38" i="3"/>
  <c r="F38" i="3"/>
  <c r="E38" i="3"/>
  <c r="D38" i="3"/>
  <c r="C38" i="3"/>
  <c r="K37" i="3"/>
  <c r="J37" i="3"/>
  <c r="H37" i="3"/>
  <c r="G37" i="3"/>
  <c r="F37" i="3"/>
  <c r="E37" i="3"/>
  <c r="D37" i="3"/>
  <c r="C37" i="3"/>
  <c r="K36" i="3"/>
  <c r="J36" i="3"/>
  <c r="H36" i="3"/>
  <c r="G36" i="3"/>
  <c r="F36" i="3"/>
  <c r="E36" i="3"/>
  <c r="D36" i="3"/>
  <c r="C36" i="3"/>
  <c r="K35" i="3"/>
  <c r="J35" i="3"/>
  <c r="H35" i="3"/>
  <c r="G35" i="3"/>
  <c r="F35" i="3"/>
  <c r="E35" i="3"/>
  <c r="D35" i="3"/>
  <c r="C35" i="3"/>
  <c r="K34" i="3"/>
  <c r="J34" i="3"/>
  <c r="H34" i="3"/>
  <c r="G34" i="3"/>
  <c r="F34" i="3"/>
  <c r="E34" i="3"/>
  <c r="D34" i="3"/>
  <c r="C34" i="3"/>
  <c r="K33" i="3"/>
  <c r="J33" i="3"/>
  <c r="H33" i="3"/>
  <c r="G33" i="3"/>
  <c r="I33" i="3" s="1"/>
  <c r="F33" i="3"/>
  <c r="E33" i="3"/>
  <c r="D33" i="3"/>
  <c r="C33" i="3"/>
  <c r="K32" i="3"/>
  <c r="J32" i="3"/>
  <c r="H32" i="3"/>
  <c r="G32" i="3"/>
  <c r="F32" i="3"/>
  <c r="E32" i="3"/>
  <c r="D32" i="3"/>
  <c r="C32" i="3"/>
  <c r="K31" i="3"/>
  <c r="J31" i="3"/>
  <c r="H31" i="3"/>
  <c r="G31" i="3"/>
  <c r="F31" i="3"/>
  <c r="E31" i="3"/>
  <c r="D31" i="3"/>
  <c r="C31" i="3"/>
  <c r="K30" i="3"/>
  <c r="J30" i="3"/>
  <c r="H30" i="3"/>
  <c r="G30" i="3"/>
  <c r="F30" i="3"/>
  <c r="E30" i="3"/>
  <c r="D30" i="3"/>
  <c r="C30" i="3"/>
  <c r="K29" i="3"/>
  <c r="J29" i="3"/>
  <c r="H29" i="3"/>
  <c r="G29" i="3"/>
  <c r="F29" i="3"/>
  <c r="E29" i="3"/>
  <c r="D29" i="3"/>
  <c r="C29" i="3"/>
  <c r="K28" i="3"/>
  <c r="J28" i="3"/>
  <c r="H28" i="3"/>
  <c r="G28" i="3"/>
  <c r="F28" i="3"/>
  <c r="E28" i="3"/>
  <c r="D28" i="3"/>
  <c r="C28" i="3"/>
  <c r="K27" i="3"/>
  <c r="J27" i="3"/>
  <c r="H27" i="3"/>
  <c r="G27" i="3"/>
  <c r="F27" i="3"/>
  <c r="E27" i="3"/>
  <c r="D27" i="3"/>
  <c r="C27" i="3"/>
  <c r="K26" i="3"/>
  <c r="J26" i="3"/>
  <c r="H26" i="3"/>
  <c r="G26" i="3"/>
  <c r="F26" i="3"/>
  <c r="E26" i="3"/>
  <c r="D26" i="3"/>
  <c r="C26" i="3"/>
  <c r="K25" i="3"/>
  <c r="J25" i="3"/>
  <c r="H25" i="3"/>
  <c r="G25" i="3"/>
  <c r="F25" i="3"/>
  <c r="E25" i="3"/>
  <c r="D25" i="3"/>
  <c r="C25" i="3"/>
  <c r="K24" i="3"/>
  <c r="J24" i="3"/>
  <c r="H24" i="3"/>
  <c r="G24" i="3"/>
  <c r="F24" i="3"/>
  <c r="E24" i="3"/>
  <c r="D24" i="3"/>
  <c r="C24" i="3"/>
  <c r="K23" i="3"/>
  <c r="J23" i="3"/>
  <c r="H23" i="3"/>
  <c r="G23" i="3"/>
  <c r="F23" i="3"/>
  <c r="E23" i="3"/>
  <c r="D23" i="3"/>
  <c r="C23" i="3"/>
  <c r="K22" i="3"/>
  <c r="J22" i="3"/>
  <c r="H22" i="3"/>
  <c r="G22" i="3"/>
  <c r="F22" i="3"/>
  <c r="E22" i="3"/>
  <c r="D22" i="3"/>
  <c r="C22" i="3"/>
  <c r="K21" i="3"/>
  <c r="J21" i="3"/>
  <c r="H21" i="3"/>
  <c r="G21" i="3"/>
  <c r="F21" i="3"/>
  <c r="E21" i="3"/>
  <c r="D21" i="3"/>
  <c r="C21" i="3"/>
  <c r="K20" i="3"/>
  <c r="J20" i="3"/>
  <c r="H20" i="3"/>
  <c r="G20" i="3"/>
  <c r="F20" i="3"/>
  <c r="E20" i="3"/>
  <c r="D20" i="3"/>
  <c r="C20" i="3"/>
  <c r="K19" i="3"/>
  <c r="J19" i="3"/>
  <c r="H19" i="3"/>
  <c r="G19" i="3"/>
  <c r="F19" i="3"/>
  <c r="E19" i="3"/>
  <c r="D19" i="3"/>
  <c r="C19" i="3"/>
  <c r="K18" i="3"/>
  <c r="J18" i="3"/>
  <c r="H18" i="3"/>
  <c r="G18" i="3"/>
  <c r="F18" i="3"/>
  <c r="E18" i="3"/>
  <c r="D18" i="3"/>
  <c r="C18" i="3"/>
  <c r="K17" i="3"/>
  <c r="J17" i="3"/>
  <c r="H17" i="3"/>
  <c r="G17" i="3"/>
  <c r="F17" i="3"/>
  <c r="E17" i="3"/>
  <c r="D17" i="3"/>
  <c r="C17" i="3"/>
  <c r="K16" i="3"/>
  <c r="J16" i="3"/>
  <c r="H16" i="3"/>
  <c r="I16" i="3" s="1"/>
  <c r="G16" i="3"/>
  <c r="F16" i="3"/>
  <c r="E16" i="3"/>
  <c r="D16" i="3"/>
  <c r="C16" i="3"/>
  <c r="K15" i="3"/>
  <c r="J15" i="3"/>
  <c r="H15" i="3"/>
  <c r="G15" i="3"/>
  <c r="F15" i="3"/>
  <c r="E15" i="3"/>
  <c r="D15" i="3"/>
  <c r="C15" i="3"/>
  <c r="K14" i="3"/>
  <c r="J14" i="3"/>
  <c r="H14" i="3"/>
  <c r="I14" i="3" s="1"/>
  <c r="G14" i="3"/>
  <c r="F14" i="3"/>
  <c r="E14" i="3"/>
  <c r="D14" i="3"/>
  <c r="C14" i="3"/>
  <c r="K13" i="3"/>
  <c r="J13" i="3"/>
  <c r="H13" i="3"/>
  <c r="G13" i="3"/>
  <c r="I13" i="3" s="1"/>
  <c r="F13" i="3"/>
  <c r="E13" i="3"/>
  <c r="D13" i="3"/>
  <c r="C13" i="3"/>
  <c r="K12" i="3"/>
  <c r="J12" i="3"/>
  <c r="H12" i="3"/>
  <c r="G12" i="3"/>
  <c r="I12" i="3" s="1"/>
  <c r="F12" i="3"/>
  <c r="E12" i="3"/>
  <c r="D12" i="3"/>
  <c r="C12" i="3"/>
  <c r="K11" i="3"/>
  <c r="J11" i="3"/>
  <c r="H11" i="3"/>
  <c r="G11" i="3"/>
  <c r="I11" i="3" s="1"/>
  <c r="F11" i="3"/>
  <c r="E11" i="3"/>
  <c r="D11" i="3"/>
  <c r="C11" i="3"/>
  <c r="K10" i="3"/>
  <c r="J10" i="3"/>
  <c r="H10" i="3"/>
  <c r="G10" i="3"/>
  <c r="I10" i="3" s="1"/>
  <c r="F10" i="3"/>
  <c r="E10" i="3"/>
  <c r="D10" i="3"/>
  <c r="C10" i="3"/>
  <c r="K9" i="3"/>
  <c r="J9" i="3"/>
  <c r="H9" i="3"/>
  <c r="G9" i="3"/>
  <c r="I9" i="3" s="1"/>
  <c r="F9" i="3"/>
  <c r="E9" i="3"/>
  <c r="D9" i="3"/>
  <c r="C9" i="3"/>
  <c r="K8" i="3"/>
  <c r="J8" i="3"/>
  <c r="H8" i="3"/>
  <c r="G8" i="3"/>
  <c r="F8" i="3"/>
  <c r="E8" i="3"/>
  <c r="D8" i="3"/>
  <c r="C8" i="3"/>
  <c r="I8" i="3"/>
  <c r="K7" i="3"/>
  <c r="J7" i="3"/>
  <c r="H7" i="3"/>
  <c r="G7" i="3"/>
  <c r="I7" i="3" s="1"/>
  <c r="F7" i="3"/>
  <c r="E7" i="3"/>
  <c r="D7" i="3"/>
  <c r="C7" i="3"/>
  <c r="K6" i="3"/>
  <c r="J6" i="3"/>
  <c r="H6" i="3"/>
  <c r="G6" i="3"/>
  <c r="F6" i="3"/>
  <c r="E6" i="3"/>
  <c r="D6" i="3"/>
  <c r="C6" i="3"/>
  <c r="K5" i="3"/>
  <c r="J5" i="3"/>
  <c r="H5" i="3"/>
  <c r="G5" i="3"/>
  <c r="F5" i="3"/>
  <c r="E5" i="3"/>
  <c r="D5" i="3"/>
  <c r="C5" i="3"/>
  <c r="K4" i="3"/>
  <c r="J4" i="3"/>
  <c r="H4" i="3"/>
  <c r="G4" i="3"/>
  <c r="I4" i="3" s="1"/>
  <c r="F4" i="3"/>
  <c r="E4" i="3"/>
  <c r="D4" i="3"/>
  <c r="C4" i="3"/>
  <c r="K3" i="3"/>
  <c r="J3" i="3"/>
  <c r="H3" i="3"/>
  <c r="G3" i="3"/>
  <c r="I3" i="3" s="1"/>
  <c r="F3" i="3"/>
  <c r="E3" i="3"/>
  <c r="D3" i="3"/>
  <c r="C3" i="3"/>
  <c r="I227" i="3" l="1"/>
  <c r="I5" i="3"/>
  <c r="I15" i="3"/>
  <c r="I23" i="3"/>
  <c r="I24" i="3"/>
  <c r="I25" i="3"/>
  <c r="I26" i="3"/>
  <c r="I27" i="3"/>
  <c r="I28" i="3"/>
  <c r="I29" i="3"/>
  <c r="I30" i="3"/>
  <c r="I31" i="3"/>
  <c r="I32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6" i="3"/>
  <c r="I17" i="3"/>
  <c r="I18" i="3"/>
  <c r="I19" i="3"/>
  <c r="I20" i="3"/>
  <c r="I21" i="3"/>
  <c r="I22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K1" i="3"/>
  <c r="J1" i="3"/>
  <c r="H1" i="3"/>
  <c r="G1" i="3"/>
  <c r="F1" i="3"/>
  <c r="E1" i="3"/>
  <c r="D1" i="3"/>
  <c r="C1" i="3"/>
  <c r="I1" i="3" l="1"/>
  <c r="I25" i="2"/>
  <c r="G25" i="2"/>
  <c r="F25" i="2"/>
  <c r="H25" i="2" s="1"/>
  <c r="E25" i="2"/>
  <c r="D25" i="2"/>
  <c r="C25" i="2"/>
  <c r="B25" i="2"/>
  <c r="H6" i="1" l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22" i="1" s="1"/>
  <c r="E6" i="1"/>
  <c r="E7" i="1" s="1"/>
  <c r="I5" i="1"/>
  <c r="I6" i="1" l="1"/>
  <c r="E8" i="1"/>
  <c r="E9" i="1" s="1"/>
  <c r="I7" i="1" l="1"/>
  <c r="I8" i="1"/>
  <c r="E10" i="1"/>
  <c r="I9" i="1"/>
  <c r="I10" i="1" l="1"/>
  <c r="E11" i="1"/>
  <c r="E12" i="1" l="1"/>
  <c r="I11" i="1"/>
  <c r="I12" i="1" l="1"/>
  <c r="E13" i="1"/>
  <c r="I13" i="1" l="1"/>
  <c r="E14" i="1"/>
  <c r="E15" i="1" l="1"/>
  <c r="I14" i="1"/>
  <c r="E16" i="1" l="1"/>
  <c r="I15" i="1"/>
  <c r="E17" i="1" l="1"/>
  <c r="I16" i="1"/>
  <c r="E18" i="1" l="1"/>
  <c r="I17" i="1"/>
  <c r="I18" i="1" l="1"/>
  <c r="E19" i="1"/>
  <c r="E20" i="1" l="1"/>
  <c r="I19" i="1"/>
  <c r="I20" i="1" l="1"/>
  <c r="E21" i="1"/>
  <c r="E22" i="1" l="1"/>
  <c r="I21" i="1"/>
  <c r="I22" i="1" l="1"/>
</calcChain>
</file>

<file path=xl/sharedStrings.xml><?xml version="1.0" encoding="utf-8"?>
<sst xmlns="http://schemas.openxmlformats.org/spreadsheetml/2006/main" count="585" uniqueCount="575">
  <si>
    <t>fecha</t>
  </si>
  <si>
    <t>cpte</t>
  </si>
  <si>
    <t>Buenos Aires</t>
  </si>
  <si>
    <t>CABA</t>
  </si>
  <si>
    <t>Total</t>
  </si>
  <si>
    <t>entr</t>
  </si>
  <si>
    <t>salida</t>
  </si>
  <si>
    <t>stock</t>
  </si>
  <si>
    <t>entrada</t>
  </si>
  <si>
    <t>000-00000</t>
  </si>
  <si>
    <t>codigo</t>
  </si>
  <si>
    <t>descripcion</t>
  </si>
  <si>
    <t>stock consolidado</t>
  </si>
  <si>
    <t>fecha ultimo movimiento</t>
  </si>
  <si>
    <t xml:space="preserve">notas </t>
  </si>
  <si>
    <t xml:space="preserve">deposito -  categoría </t>
  </si>
  <si>
    <t>stock 1       Pcia</t>
  </si>
  <si>
    <t>stock 2        CABA</t>
  </si>
  <si>
    <t>A1</t>
  </si>
  <si>
    <t>C1</t>
  </si>
  <si>
    <t>I2</t>
  </si>
  <si>
    <t>I1</t>
  </si>
  <si>
    <t>E22</t>
  </si>
  <si>
    <t>H22</t>
  </si>
  <si>
    <t>E22+H22</t>
  </si>
  <si>
    <t>???</t>
  </si>
  <si>
    <t>A23</t>
  </si>
  <si>
    <t xml:space="preserve"> las referencias A1, C1 etc, corresponden  a la ubicación del dato en el registro o ficha de cada uno de los repuestos</t>
  </si>
  <si>
    <t>Objetivo</t>
  </si>
  <si>
    <t xml:space="preserve">Cada vez que se actualiza una ficha debe actualizarse la linea correspondiente en este listado  </t>
  </si>
  <si>
    <t xml:space="preserve">Una etapa posterior sería la pantalla de captura de datos en base al documento que origina el movimiento, p.e. </t>
  </si>
  <si>
    <t>De modo que se pueda acceder rapidamente al conjunto de stock disponible y notas, ante consultas de clientes u otras.</t>
  </si>
  <si>
    <t>En una primera etapa los movimientos se pueden cargar en cada una de las fichas,  para lo cual de se debe abrir el excel</t>
  </si>
  <si>
    <t xml:space="preserve">En una segunda etapa, no imprescindible al momento dado el escaso movimiento, puede diseñarse una </t>
  </si>
  <si>
    <t xml:space="preserve">una factura de compra  o venta  que involucre a uno o mas item de stock, con lo que se evitaría repetir una misma </t>
  </si>
  <si>
    <t>referencia para cada item afectado.</t>
  </si>
  <si>
    <t>Mantener un listado actualizado al momento, basado en los registros  o fichas individuales</t>
  </si>
  <si>
    <t xml:space="preserve">   correspondiente, actualizarlo, y grabar.  Con la accion de guardar debe actualizarse este listado </t>
  </si>
  <si>
    <t xml:space="preserve">     ventana  de captura de datos, donde se invoque al registro individual por su código, para cargar  los movimientos de c/u. </t>
  </si>
  <si>
    <t xml:space="preserve">     Basicamente para evitar el esfuerzo de ubicar el excel del registro, abrirlo, y guardar la actualizacion.</t>
  </si>
  <si>
    <t>Listado actualizado de stock  - propuesta de formato</t>
  </si>
  <si>
    <t>hoja nro</t>
  </si>
  <si>
    <t>codigo ficha</t>
  </si>
  <si>
    <t>nombre archivo ficha</t>
  </si>
  <si>
    <t>008-02006</t>
  </si>
  <si>
    <t>008-02013</t>
  </si>
  <si>
    <t>008-02019</t>
  </si>
  <si>
    <t>008-02020</t>
  </si>
  <si>
    <t>008-02024</t>
  </si>
  <si>
    <t>008-02025</t>
  </si>
  <si>
    <t>008-02029</t>
  </si>
  <si>
    <t>008-02039B</t>
  </si>
  <si>
    <t>008-02039R</t>
  </si>
  <si>
    <t>008-02062F</t>
  </si>
  <si>
    <t>008-02062G</t>
  </si>
  <si>
    <t>008-02102</t>
  </si>
  <si>
    <t>008-02123</t>
  </si>
  <si>
    <t>008-02124</t>
  </si>
  <si>
    <t>008-02126</t>
  </si>
  <si>
    <t>008-02127</t>
  </si>
  <si>
    <t>008-02129</t>
  </si>
  <si>
    <t>008-02150</t>
  </si>
  <si>
    <t>008-02160</t>
  </si>
  <si>
    <t>008-02161</t>
  </si>
  <si>
    <t>008-02168B</t>
  </si>
  <si>
    <t>008-02176</t>
  </si>
  <si>
    <t>008-02177</t>
  </si>
  <si>
    <t>008-02178</t>
  </si>
  <si>
    <t>008-02187</t>
  </si>
  <si>
    <t>008-02195</t>
  </si>
  <si>
    <t>008-02201</t>
  </si>
  <si>
    <t>008-02218B</t>
  </si>
  <si>
    <t>008-03017</t>
  </si>
  <si>
    <t>008-03018</t>
  </si>
  <si>
    <t>008-03019</t>
  </si>
  <si>
    <t>008-03020</t>
  </si>
  <si>
    <t>008-03021</t>
  </si>
  <si>
    <t>008-03022</t>
  </si>
  <si>
    <t>008-03026B</t>
  </si>
  <si>
    <t>008-03051</t>
  </si>
  <si>
    <t>008-03051C</t>
  </si>
  <si>
    <t>008-03053</t>
  </si>
  <si>
    <t>008-04003</t>
  </si>
  <si>
    <t>008-04006</t>
  </si>
  <si>
    <t>008-04007</t>
  </si>
  <si>
    <t>008-04010</t>
  </si>
  <si>
    <t>008-04012</t>
  </si>
  <si>
    <t>008-04025-20</t>
  </si>
  <si>
    <t>008-04025-40</t>
  </si>
  <si>
    <t>008-04025</t>
  </si>
  <si>
    <t>008-05002</t>
  </si>
  <si>
    <t>008-06002B</t>
  </si>
  <si>
    <t>008-06056</t>
  </si>
  <si>
    <t>008-06078</t>
  </si>
  <si>
    <t>008-06106</t>
  </si>
  <si>
    <t>008-24165</t>
  </si>
  <si>
    <t>008-24227B</t>
  </si>
  <si>
    <t>008-24239F</t>
  </si>
  <si>
    <t>008-24239G</t>
  </si>
  <si>
    <t>008-24249</t>
  </si>
  <si>
    <t>008-24256CA</t>
  </si>
  <si>
    <t>008-30006</t>
  </si>
  <si>
    <t>008-30035</t>
  </si>
  <si>
    <t>008-30060</t>
  </si>
  <si>
    <t>008-30175</t>
  </si>
  <si>
    <t>009-06003</t>
  </si>
  <si>
    <t>009-06087</t>
  </si>
  <si>
    <t>010-02059</t>
  </si>
  <si>
    <t>010-03015</t>
  </si>
  <si>
    <t>010-03023</t>
  </si>
  <si>
    <t>010-03025</t>
  </si>
  <si>
    <t>010-03039U</t>
  </si>
  <si>
    <t>010-03041</t>
  </si>
  <si>
    <t>010-03041X</t>
  </si>
  <si>
    <t>010-03091</t>
  </si>
  <si>
    <t>010-03121</t>
  </si>
  <si>
    <t>010-03130</t>
  </si>
  <si>
    <t>010-06067</t>
  </si>
  <si>
    <t>012-03129</t>
  </si>
  <si>
    <t>012-03219</t>
  </si>
  <si>
    <t>021-00112</t>
  </si>
  <si>
    <t>023-00472</t>
  </si>
  <si>
    <t>023-00792</t>
  </si>
  <si>
    <t>026-00098</t>
  </si>
  <si>
    <t>026-00112</t>
  </si>
  <si>
    <t>026-00128</t>
  </si>
  <si>
    <t>026-00379</t>
  </si>
  <si>
    <t>027-00130</t>
  </si>
  <si>
    <t>027-00132</t>
  </si>
  <si>
    <t>027-00352</t>
  </si>
  <si>
    <t>027-00367</t>
  </si>
  <si>
    <t>027-00606B</t>
  </si>
  <si>
    <t>027-00714</t>
  </si>
  <si>
    <t>027-00768</t>
  </si>
  <si>
    <t>027-04356</t>
  </si>
  <si>
    <t>027-06874I</t>
  </si>
  <si>
    <t>027-077114I</t>
  </si>
  <si>
    <t>027-07878A</t>
  </si>
  <si>
    <t>027-07896I</t>
  </si>
  <si>
    <t>027-07897I</t>
  </si>
  <si>
    <t>027-10041I</t>
  </si>
  <si>
    <t>079-00192</t>
  </si>
  <si>
    <t>201-10721I</t>
  </si>
  <si>
    <t>201-13118I</t>
  </si>
  <si>
    <t>201-30040A</t>
  </si>
  <si>
    <t>201-30051A</t>
  </si>
  <si>
    <t>201-30080I</t>
  </si>
  <si>
    <t>201-30100I</t>
  </si>
  <si>
    <t>201-30110I</t>
  </si>
  <si>
    <t>201-301160I</t>
  </si>
  <si>
    <t>201-30150I</t>
  </si>
  <si>
    <t>201-30171A</t>
  </si>
  <si>
    <t>201-30171I</t>
  </si>
  <si>
    <t>201-30181A</t>
  </si>
  <si>
    <t>201-30181I</t>
  </si>
  <si>
    <t>201-30250I</t>
  </si>
  <si>
    <t>201-30261I</t>
  </si>
  <si>
    <t>201-30390I</t>
  </si>
  <si>
    <t>201-30410I</t>
  </si>
  <si>
    <t>201-30461I</t>
  </si>
  <si>
    <t>201-30550I</t>
  </si>
  <si>
    <t>201-30612A</t>
  </si>
  <si>
    <t>201-30630I</t>
  </si>
  <si>
    <t>201-30640I</t>
  </si>
  <si>
    <t>201-30650I</t>
  </si>
  <si>
    <t>201-30681I</t>
  </si>
  <si>
    <t>201-30682I</t>
  </si>
  <si>
    <t>201-30690A</t>
  </si>
  <si>
    <t>201-30690I</t>
  </si>
  <si>
    <t>201-30805A</t>
  </si>
  <si>
    <t>201-30805I</t>
  </si>
  <si>
    <t>201-30943I</t>
  </si>
  <si>
    <t>201-30944Ix</t>
  </si>
  <si>
    <t>201-30990I</t>
  </si>
  <si>
    <t>201-31141I</t>
  </si>
  <si>
    <t>201-31240I</t>
  </si>
  <si>
    <t>201-31305I</t>
  </si>
  <si>
    <t>201-31312I</t>
  </si>
  <si>
    <t>201-31340I</t>
  </si>
  <si>
    <t>201-31364I</t>
  </si>
  <si>
    <t>201-31381I</t>
  </si>
  <si>
    <t>201-31460A</t>
  </si>
  <si>
    <t>201-31460I</t>
  </si>
  <si>
    <t>201-31474A</t>
  </si>
  <si>
    <t>201-32430A</t>
  </si>
  <si>
    <t>201-32430I</t>
  </si>
  <si>
    <t>201-32740I</t>
  </si>
  <si>
    <t>201-32804I</t>
  </si>
  <si>
    <t>201-33011I</t>
  </si>
  <si>
    <t>201-33070I</t>
  </si>
  <si>
    <t>201-33080I</t>
  </si>
  <si>
    <t>201-33100I</t>
  </si>
  <si>
    <t>201-33101I</t>
  </si>
  <si>
    <t>201-33110I</t>
  </si>
  <si>
    <t>201-33420I</t>
  </si>
  <si>
    <t>201-37291I</t>
  </si>
  <si>
    <t>201-37630I</t>
  </si>
  <si>
    <t>201-37660I</t>
  </si>
  <si>
    <t>201-37751A</t>
  </si>
  <si>
    <t>201-377861I</t>
  </si>
  <si>
    <t>201-38010I</t>
  </si>
  <si>
    <t>201-39520I</t>
  </si>
  <si>
    <t>201-39701I</t>
  </si>
  <si>
    <t>201-39742I</t>
  </si>
  <si>
    <t>201-41940A</t>
  </si>
  <si>
    <t>201-41940I</t>
  </si>
  <si>
    <t>201-41950A</t>
  </si>
  <si>
    <t>201-41980I</t>
  </si>
  <si>
    <t>201-42360I</t>
  </si>
  <si>
    <t>201-42530I</t>
  </si>
  <si>
    <t>201-42900I</t>
  </si>
  <si>
    <t>201-44950A</t>
  </si>
  <si>
    <t>201-45070I</t>
  </si>
  <si>
    <t>201-45961I</t>
  </si>
  <si>
    <t>201-45962I</t>
  </si>
  <si>
    <t>201-45963I</t>
  </si>
  <si>
    <t>201-45964I</t>
  </si>
  <si>
    <t>201-46298I</t>
  </si>
  <si>
    <t>201-47062I</t>
  </si>
  <si>
    <t>201-47092I</t>
  </si>
  <si>
    <t>201-48530I</t>
  </si>
  <si>
    <t>201-48540I</t>
  </si>
  <si>
    <t>201-50432</t>
  </si>
  <si>
    <t>201-55370A</t>
  </si>
  <si>
    <t>201-55370AB</t>
  </si>
  <si>
    <t>201-55370I</t>
  </si>
  <si>
    <t>201-80157A</t>
  </si>
  <si>
    <t>201-80157A020</t>
  </si>
  <si>
    <t>201-80157A040</t>
  </si>
  <si>
    <t>201-80230I</t>
  </si>
  <si>
    <t>201-80265</t>
  </si>
  <si>
    <t>201-81393i</t>
  </si>
  <si>
    <t>201-81395I</t>
  </si>
  <si>
    <t>202-33540I</t>
  </si>
  <si>
    <t>202-41270I</t>
  </si>
  <si>
    <t>202-42480I</t>
  </si>
  <si>
    <t>203-11421</t>
  </si>
  <si>
    <t>328-21600A</t>
  </si>
  <si>
    <t>328-21600I</t>
  </si>
  <si>
    <t>346-2-027</t>
  </si>
  <si>
    <t>346-2-029</t>
  </si>
  <si>
    <t>346-2-031</t>
  </si>
  <si>
    <t>346-3-148-32</t>
  </si>
  <si>
    <t>346-3-158</t>
  </si>
  <si>
    <t>346-3-159</t>
  </si>
  <si>
    <t>351-29760A</t>
  </si>
  <si>
    <t>366-06227I</t>
  </si>
  <si>
    <t>366-07188AA</t>
  </si>
  <si>
    <t>366-07188I</t>
  </si>
  <si>
    <t>366-07197I</t>
  </si>
  <si>
    <t>366-07723</t>
  </si>
  <si>
    <t>382-08564I</t>
  </si>
  <si>
    <t>382-08919I</t>
  </si>
  <si>
    <t>570-12840I</t>
  </si>
  <si>
    <t>570-12840I020</t>
  </si>
  <si>
    <t>570-12840I040</t>
  </si>
  <si>
    <t>570-12910I</t>
  </si>
  <si>
    <t>570-12910I010</t>
  </si>
  <si>
    <t>570-12910I020</t>
  </si>
  <si>
    <t>570-12960</t>
  </si>
  <si>
    <t>570-12970I</t>
  </si>
  <si>
    <t>570-12970I10</t>
  </si>
  <si>
    <t>570-12970I20</t>
  </si>
  <si>
    <t>570-12970I30</t>
  </si>
  <si>
    <t>570-12980I</t>
  </si>
  <si>
    <t>570-12980I10</t>
  </si>
  <si>
    <t>570-12980I20</t>
  </si>
  <si>
    <t>570-12980I30</t>
  </si>
  <si>
    <t>570-12980I40</t>
  </si>
  <si>
    <t>570-12990</t>
  </si>
  <si>
    <t>570-12990I10</t>
  </si>
  <si>
    <t>570-12990I20</t>
  </si>
  <si>
    <t>570-12990I30</t>
  </si>
  <si>
    <t>570-12990I40</t>
  </si>
  <si>
    <t>570-30010I</t>
  </si>
  <si>
    <t>570-30010I025</t>
  </si>
  <si>
    <t>570-30010I050</t>
  </si>
  <si>
    <t>570-30010I100</t>
  </si>
  <si>
    <t>570-30011I</t>
  </si>
  <si>
    <t>570-30011I025</t>
  </si>
  <si>
    <t>570-30011I050</t>
  </si>
  <si>
    <t>570-30011I100</t>
  </si>
  <si>
    <t>570-30261I</t>
  </si>
  <si>
    <t>570-30641I</t>
  </si>
  <si>
    <t>570-30680I</t>
  </si>
  <si>
    <t>570-30770I</t>
  </si>
  <si>
    <t>570-31360I</t>
  </si>
  <si>
    <t>570-31370I</t>
  </si>
  <si>
    <t>570-31370I025</t>
  </si>
  <si>
    <t>570-31370I050</t>
  </si>
  <si>
    <t>570-31370I075</t>
  </si>
  <si>
    <t>570-33360AP</t>
  </si>
  <si>
    <t>570-33360AP20</t>
  </si>
  <si>
    <t>570-33360AP40</t>
  </si>
  <si>
    <t>570-33360APER</t>
  </si>
  <si>
    <t>570-33360I</t>
  </si>
  <si>
    <t>570-33360I025</t>
  </si>
  <si>
    <t>570-33360I050</t>
  </si>
  <si>
    <t>570-33360I100</t>
  </si>
  <si>
    <t>570-33370I</t>
  </si>
  <si>
    <t>570-33370I025</t>
  </si>
  <si>
    <t>570-33370I050</t>
  </si>
  <si>
    <t>570-33370I100</t>
  </si>
  <si>
    <t>570-34200I</t>
  </si>
  <si>
    <t>570-35530I</t>
  </si>
  <si>
    <t>570-36820I</t>
  </si>
  <si>
    <t>574-10080</t>
  </si>
  <si>
    <t>574-10080jr</t>
  </si>
  <si>
    <t>574-10170B</t>
  </si>
  <si>
    <t>574-10200</t>
  </si>
  <si>
    <t>574-10320-10</t>
  </si>
  <si>
    <t>574-10320-20</t>
  </si>
  <si>
    <t>574-10320-30</t>
  </si>
  <si>
    <t>574-10320-40</t>
  </si>
  <si>
    <t>574-10320</t>
  </si>
  <si>
    <t>574-10320I-10</t>
  </si>
  <si>
    <t>574-10320I-20</t>
  </si>
  <si>
    <t>574-10320I30</t>
  </si>
  <si>
    <t>574-10430</t>
  </si>
  <si>
    <t>574-10950</t>
  </si>
  <si>
    <t>574-10990-020</t>
  </si>
  <si>
    <t>574-10990-040</t>
  </si>
  <si>
    <t>574-10990</t>
  </si>
  <si>
    <t>574-10990I20</t>
  </si>
  <si>
    <t>574-10990I40</t>
  </si>
  <si>
    <t>574-11090</t>
  </si>
  <si>
    <t>574-11110</t>
  </si>
  <si>
    <t>574-11330</t>
  </si>
  <si>
    <t>601-31350A</t>
  </si>
  <si>
    <t>601-54480I</t>
  </si>
  <si>
    <t>602-41760A</t>
  </si>
  <si>
    <t>657-10400</t>
  </si>
  <si>
    <t>657-10411</t>
  </si>
  <si>
    <t>657-19697I</t>
  </si>
  <si>
    <t>657-19706I</t>
  </si>
  <si>
    <t>657-23503I</t>
  </si>
  <si>
    <t>657-23535I</t>
  </si>
  <si>
    <t>657-23543I</t>
  </si>
  <si>
    <t>657-23557I</t>
  </si>
  <si>
    <t>657-29461I</t>
  </si>
  <si>
    <t>657-33091</t>
  </si>
  <si>
    <t>657-33301I</t>
  </si>
  <si>
    <t>657-33361I</t>
  </si>
  <si>
    <t>657-33371I</t>
  </si>
  <si>
    <t>657-33381I</t>
  </si>
  <si>
    <t>657-33391</t>
  </si>
  <si>
    <t>657-34231I</t>
  </si>
  <si>
    <t>657-34241I</t>
  </si>
  <si>
    <t>657-34251I</t>
  </si>
  <si>
    <t>657-34261I</t>
  </si>
  <si>
    <t>657-34271I</t>
  </si>
  <si>
    <t>657-34281I</t>
  </si>
  <si>
    <t>660-10000A</t>
  </si>
  <si>
    <t>660-10600</t>
  </si>
  <si>
    <t>660-10910</t>
  </si>
  <si>
    <t>660-11050I</t>
  </si>
  <si>
    <t>660-13630I</t>
  </si>
  <si>
    <t>660-13640I.</t>
  </si>
  <si>
    <t>660-13760I</t>
  </si>
  <si>
    <t>660-14260I</t>
  </si>
  <si>
    <t>660-14270A</t>
  </si>
  <si>
    <t>660-14270I</t>
  </si>
  <si>
    <t>750-10152I</t>
  </si>
  <si>
    <t>750-10430I</t>
  </si>
  <si>
    <t>750-10570I</t>
  </si>
  <si>
    <t>750-10662I</t>
  </si>
  <si>
    <t>750-10663I</t>
  </si>
  <si>
    <t>750-11210I</t>
  </si>
  <si>
    <t>750-11210I025</t>
  </si>
  <si>
    <t>750-11210I050</t>
  </si>
  <si>
    <t>750-11210I075</t>
  </si>
  <si>
    <t>750-11210I100</t>
  </si>
  <si>
    <t>750-11230I</t>
  </si>
  <si>
    <t>750-11240I</t>
  </si>
  <si>
    <t>750-11240I025</t>
  </si>
  <si>
    <t>750-11240I050</t>
  </si>
  <si>
    <t>750-11240I100</t>
  </si>
  <si>
    <t>750-112430Ilsx</t>
  </si>
  <si>
    <t>750-11250I</t>
  </si>
  <si>
    <t>750-11250I025</t>
  </si>
  <si>
    <t>750-11250I050I</t>
  </si>
  <si>
    <t>750-11250I100</t>
  </si>
  <si>
    <t>750-11260I</t>
  </si>
  <si>
    <t>750-11260I025</t>
  </si>
  <si>
    <t>750-11260I050</t>
  </si>
  <si>
    <t>750-11260I100</t>
  </si>
  <si>
    <t>750-11280I</t>
  </si>
  <si>
    <t>750-11320I</t>
  </si>
  <si>
    <t>750-11330I</t>
  </si>
  <si>
    <t>750-11340I</t>
  </si>
  <si>
    <t>750-11350I</t>
  </si>
  <si>
    <t>750-11371I</t>
  </si>
  <si>
    <t>750-11390I</t>
  </si>
  <si>
    <t>750-11401I</t>
  </si>
  <si>
    <t>750-11401I025</t>
  </si>
  <si>
    <t>750-11430I</t>
  </si>
  <si>
    <t>750-11461I</t>
  </si>
  <si>
    <t>750-11873I</t>
  </si>
  <si>
    <t>750-12021Iç</t>
  </si>
  <si>
    <t>750-12038I</t>
  </si>
  <si>
    <t>750-12432I</t>
  </si>
  <si>
    <t>750-12930</t>
  </si>
  <si>
    <t>750-13120I</t>
  </si>
  <si>
    <t>750-13120I025</t>
  </si>
  <si>
    <t>750-13120I050</t>
  </si>
  <si>
    <t>750-13120I100</t>
  </si>
  <si>
    <t>750-14120I</t>
  </si>
  <si>
    <t>750-14150I</t>
  </si>
  <si>
    <t>750-15330I</t>
  </si>
  <si>
    <t>750-40005I</t>
  </si>
  <si>
    <t>750-40005I025</t>
  </si>
  <si>
    <t>750-40092I25</t>
  </si>
  <si>
    <t>750-40160I</t>
  </si>
  <si>
    <t>750-40180I</t>
  </si>
  <si>
    <t>750-41610AP</t>
  </si>
  <si>
    <t>750-41610AP020</t>
  </si>
  <si>
    <t>750-41610AP040</t>
  </si>
  <si>
    <t>750-41610I</t>
  </si>
  <si>
    <t>750-41610I025</t>
  </si>
  <si>
    <t>750-41610I050</t>
  </si>
  <si>
    <t>750-41610I100</t>
  </si>
  <si>
    <t>750-42730I</t>
  </si>
  <si>
    <t>750-42732I</t>
  </si>
  <si>
    <t>751-10063I</t>
  </si>
  <si>
    <t>751-10103A</t>
  </si>
  <si>
    <t>751-10103I</t>
  </si>
  <si>
    <t>751-10121A</t>
  </si>
  <si>
    <t>751-10150I</t>
  </si>
  <si>
    <t>751-10232I</t>
  </si>
  <si>
    <t>751-10244I</t>
  </si>
  <si>
    <t>751-10288I</t>
  </si>
  <si>
    <t>751-10324I</t>
  </si>
  <si>
    <t>751-10330I</t>
  </si>
  <si>
    <t>751-10390A</t>
  </si>
  <si>
    <t>751-10390I</t>
  </si>
  <si>
    <t>751-10430A</t>
  </si>
  <si>
    <t>751-10430I</t>
  </si>
  <si>
    <t>751-10490I</t>
  </si>
  <si>
    <t>751-10520I</t>
  </si>
  <si>
    <t>751-10580I</t>
  </si>
  <si>
    <t>751-10620A</t>
  </si>
  <si>
    <t>751-10620I</t>
  </si>
  <si>
    <t>751-10661I</t>
  </si>
  <si>
    <t>751-10672I</t>
  </si>
  <si>
    <t>751-10903I</t>
  </si>
  <si>
    <t>751-10913I</t>
  </si>
  <si>
    <t>751-10950I</t>
  </si>
  <si>
    <t>751-10965Ix</t>
  </si>
  <si>
    <t>751-11073A</t>
  </si>
  <si>
    <t>751-11121A</t>
  </si>
  <si>
    <t>751-11121I</t>
  </si>
  <si>
    <t>751-11222A</t>
  </si>
  <si>
    <t>751-11222Ixlsx</t>
  </si>
  <si>
    <t>751-11280I</t>
  </si>
  <si>
    <t>751-11322I</t>
  </si>
  <si>
    <t>751-11460I</t>
  </si>
  <si>
    <t>751-11722I</t>
  </si>
  <si>
    <t>751-11730I</t>
  </si>
  <si>
    <t>751-11761A</t>
  </si>
  <si>
    <t>751-11930I</t>
  </si>
  <si>
    <t>751-11932I</t>
  </si>
  <si>
    <t>751-12198I</t>
  </si>
  <si>
    <t>751-12320I</t>
  </si>
  <si>
    <t>751-12330Ix</t>
  </si>
  <si>
    <t>751-12460I</t>
  </si>
  <si>
    <t>751-12670I</t>
  </si>
  <si>
    <t>751-12680I</t>
  </si>
  <si>
    <t>751-12692I</t>
  </si>
  <si>
    <t>751-12823Ix</t>
  </si>
  <si>
    <t>751-12870I</t>
  </si>
  <si>
    <t>751-12894I</t>
  </si>
  <si>
    <t>751-12971I</t>
  </si>
  <si>
    <t>751-12980I</t>
  </si>
  <si>
    <t>751-12983I</t>
  </si>
  <si>
    <t>751-13010I</t>
  </si>
  <si>
    <t>751-13054I</t>
  </si>
  <si>
    <t>751-13100I</t>
  </si>
  <si>
    <t>751-13130I</t>
  </si>
  <si>
    <t>751-13570I</t>
  </si>
  <si>
    <t>751-13971I</t>
  </si>
  <si>
    <t>751-14730I</t>
  </si>
  <si>
    <t>751-14780I</t>
  </si>
  <si>
    <t>751-15043I</t>
  </si>
  <si>
    <t>751-15050I</t>
  </si>
  <si>
    <t>751-15061I</t>
  </si>
  <si>
    <t>751-15070I</t>
  </si>
  <si>
    <t>751-15201I</t>
  </si>
  <si>
    <t>751-15360I</t>
  </si>
  <si>
    <t>751-15430I</t>
  </si>
  <si>
    <t>751-15441I</t>
  </si>
  <si>
    <t>751-15460I</t>
  </si>
  <si>
    <t>751-15720I</t>
  </si>
  <si>
    <t>751-15871I</t>
  </si>
  <si>
    <t>751-16010I</t>
  </si>
  <si>
    <t>751-16612I</t>
  </si>
  <si>
    <t>751-16613I</t>
  </si>
  <si>
    <t>751-17230I</t>
  </si>
  <si>
    <t>751-17800I</t>
  </si>
  <si>
    <t>751-17810A</t>
  </si>
  <si>
    <t>751-17820A</t>
  </si>
  <si>
    <t>751-17820I</t>
  </si>
  <si>
    <t>751-17830A</t>
  </si>
  <si>
    <t>751-1800A</t>
  </si>
  <si>
    <t>751-1800I</t>
  </si>
  <si>
    <t>751-18100A</t>
  </si>
  <si>
    <t>751-18100I</t>
  </si>
  <si>
    <t>751-18140I</t>
  </si>
  <si>
    <t>751-18290I</t>
  </si>
  <si>
    <t>751-19700I</t>
  </si>
  <si>
    <t>751-40112I</t>
  </si>
  <si>
    <t>751-40173I</t>
  </si>
  <si>
    <t>751-40184I</t>
  </si>
  <si>
    <t>751-40192I</t>
  </si>
  <si>
    <t>751-40203R</t>
  </si>
  <si>
    <t>751-40211A</t>
  </si>
  <si>
    <t>751-40281A</t>
  </si>
  <si>
    <t>751-40450A</t>
  </si>
  <si>
    <t>751-40521I</t>
  </si>
  <si>
    <t>751-40530I</t>
  </si>
  <si>
    <t>751-40550I</t>
  </si>
  <si>
    <t>751-40551I</t>
  </si>
  <si>
    <t>751-40630I</t>
  </si>
  <si>
    <t>751-40671I</t>
  </si>
  <si>
    <t>751-40860I</t>
  </si>
  <si>
    <t>751-40892A</t>
  </si>
  <si>
    <t>751-40892I</t>
  </si>
  <si>
    <t>751-41190A</t>
  </si>
  <si>
    <t>751-41322I</t>
  </si>
  <si>
    <t>751-41701I</t>
  </si>
  <si>
    <t>751-42670A</t>
  </si>
  <si>
    <t>751-42670A020</t>
  </si>
  <si>
    <t>751-45740A</t>
  </si>
  <si>
    <t>752-10802I</t>
  </si>
  <si>
    <t>752-15120I</t>
  </si>
  <si>
    <t>752-40751I</t>
  </si>
  <si>
    <t>753-10802A</t>
  </si>
  <si>
    <t>753-10802I</t>
  </si>
  <si>
    <t>753-17740I</t>
  </si>
  <si>
    <t>753-40891A</t>
  </si>
  <si>
    <t>753-40891I</t>
  </si>
  <si>
    <t>754-10615I</t>
  </si>
  <si>
    <t>754-108022A</t>
  </si>
  <si>
    <t>754-10802A</t>
  </si>
  <si>
    <t>754-10804I</t>
  </si>
  <si>
    <t>754-115120I</t>
  </si>
  <si>
    <t>754-15120I</t>
  </si>
  <si>
    <t>754-17740I</t>
  </si>
  <si>
    <t>754-40891A</t>
  </si>
  <si>
    <t>754-40891L</t>
  </si>
  <si>
    <t>754-42320I</t>
  </si>
  <si>
    <t>754-42531I</t>
  </si>
  <si>
    <t>754-42640I</t>
  </si>
  <si>
    <t>754-43311I</t>
  </si>
  <si>
    <t>754-43320I</t>
  </si>
  <si>
    <t>754-44580I</t>
  </si>
  <si>
    <t>754-44590Ix</t>
  </si>
  <si>
    <t>757-10442I</t>
  </si>
  <si>
    <t>757-10562I</t>
  </si>
  <si>
    <t>757-13121I</t>
  </si>
  <si>
    <t>757-13192I</t>
  </si>
  <si>
    <t>757-14175I</t>
  </si>
  <si>
    <t>757-14981I</t>
  </si>
  <si>
    <t>757-15721I</t>
  </si>
  <si>
    <t>757-16910I</t>
  </si>
  <si>
    <t>757-17420I</t>
  </si>
  <si>
    <t>757-18460I</t>
  </si>
  <si>
    <t>757-18811I</t>
  </si>
  <si>
    <t>757-20300I</t>
  </si>
  <si>
    <t>757-24700I</t>
  </si>
  <si>
    <t>757-26381I</t>
  </si>
  <si>
    <t>757-27890A</t>
  </si>
  <si>
    <t>757-32260I</t>
  </si>
  <si>
    <t>ficha modelo</t>
  </si>
  <si>
    <t>201-30670I</t>
  </si>
  <si>
    <t>201-31160I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</si>
</sst>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/>
    </xf>
    <xf numFmtId="1" fontId="0" fillId="0" borderId="12" xfId="0" applyNumberFormat="1" applyBorder="1" applyAlignment="1" applyProtection="1">
      <alignment horizontal="center" vertical="center"/>
      <protection locked="0"/>
    </xf>
    <xf numFmtId="1" fontId="0" fillId="0" borderId="2" xfId="0" applyNumberFormat="1" applyBorder="1" applyAlignment="1" applyProtection="1">
      <alignment horizontal="center"/>
      <protection locked="0"/>
    </xf>
    <xf numFmtId="1" fontId="0" fillId="0" borderId="8" xfId="0" applyNumberFormat="1" applyBorder="1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  <protection locked="0"/>
    </xf>
    <xf numFmtId="1" fontId="0" fillId="0" borderId="5" xfId="0" applyNumberForma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0" xfId="0" applyNumberFormat="1" applyAlignment="1" applyProtection="1">
      <alignment horizontal="center"/>
      <protection locked="0"/>
    </xf>
    <xf numFmtId="1" fontId="0" fillId="0" borderId="9" xfId="0" applyNumberFormat="1" applyBorder="1" applyAlignment="1" applyProtection="1">
      <alignment horizontal="center"/>
    </xf>
    <xf numFmtId="1" fontId="0" fillId="0" borderId="10" xfId="0" applyNumberFormat="1" applyBorder="1" applyAlignment="1" applyProtection="1">
      <alignment horizontal="center"/>
    </xf>
    <xf numFmtId="1" fontId="0" fillId="0" borderId="5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1" fontId="0" fillId="0" borderId="1" xfId="0" applyNumberFormat="1" applyBorder="1" applyAlignment="1" applyProtection="1">
      <alignment horizontal="center"/>
    </xf>
    <xf numFmtId="164" fontId="0" fillId="0" borderId="2" xfId="0" applyNumberFormat="1" applyBorder="1" applyAlignment="1" applyProtection="1">
      <alignment horizontal="center"/>
      <protection locked="0"/>
    </xf>
    <xf numFmtId="164" fontId="0" fillId="0" borderId="4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" fontId="0" fillId="0" borderId="3" xfId="0" applyNumberForma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164" fontId="0" fillId="0" borderId="17" xfId="0" applyNumberFormat="1" applyBorder="1" applyAlignment="1" applyProtection="1">
      <alignment horizontal="center"/>
      <protection locked="0"/>
    </xf>
    <xf numFmtId="0" fontId="0" fillId="0" borderId="16" xfId="0" applyBorder="1" applyProtection="1">
      <protection locked="0"/>
    </xf>
    <xf numFmtId="1" fontId="0" fillId="0" borderId="17" xfId="0" applyNumberFormat="1" applyBorder="1" applyAlignment="1" applyProtection="1">
      <alignment horizontal="center"/>
      <protection locked="0"/>
    </xf>
    <xf numFmtId="1" fontId="0" fillId="0" borderId="16" xfId="0" applyNumberFormat="1" applyBorder="1" applyAlignment="1" applyProtection="1">
      <alignment horizontal="center"/>
      <protection locked="0"/>
    </xf>
    <xf numFmtId="1" fontId="0" fillId="0" borderId="16" xfId="0" applyNumberFormat="1" applyBorder="1" applyAlignment="1" applyProtection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</xf>
    <xf numFmtId="0" fontId="0" fillId="0" borderId="16" xfId="0" applyBorder="1" applyAlignment="1" applyProtection="1">
      <alignment vertical="center"/>
      <protection locked="0"/>
    </xf>
    <xf numFmtId="14" fontId="0" fillId="0" borderId="8" xfId="0" applyNumberFormat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1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20" xfId="0" applyBorder="1" applyAlignment="1">
      <alignment horizontal="center"/>
    </xf>
    <xf numFmtId="1" fontId="0" fillId="0" borderId="20" xfId="0" applyNumberForma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1" fontId="0" fillId="0" borderId="20" xfId="0" applyNumberFormat="1" applyBorder="1" applyAlignment="1"/>
    <xf numFmtId="0" fontId="0" fillId="0" borderId="20" xfId="0" applyBorder="1"/>
    <xf numFmtId="0" fontId="0" fillId="0" borderId="20" xfId="0" applyBorder="1" applyAlignment="1">
      <alignment horizontal="center" vertical="center" wrapText="1"/>
    </xf>
    <xf numFmtId="14" fontId="0" fillId="0" borderId="20" xfId="0" applyNumberFormat="1" applyBorder="1" applyAlignment="1">
      <alignment horizontal="center" vertical="center" wrapText="1"/>
    </xf>
    <xf numFmtId="0" fontId="0" fillId="0" borderId="20" xfId="0" applyBorder="1" applyAlignment="1">
      <alignment vertical="center" wrapText="1"/>
    </xf>
    <xf numFmtId="14" fontId="0" fillId="0" borderId="20" xfId="0" applyNumberFormat="1" applyBorder="1"/>
    <xf numFmtId="0" fontId="0" fillId="0" borderId="20" xfId="0" applyBorder="1" applyAlignment="1"/>
    <xf numFmtId="0" fontId="0" fillId="2" borderId="20" xfId="0" applyFill="1" applyBorder="1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" fontId="0" fillId="0" borderId="2" xfId="0" applyNumberFormat="1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 applyProtection="1">
      <alignment vertical="top"/>
      <protection locked="0"/>
    </xf>
    <xf numFmtId="0" fontId="0" fillId="0" borderId="13" xfId="0" applyBorder="1" applyAlignment="1" applyProtection="1">
      <alignment vertical="top"/>
      <protection locked="0"/>
    </xf>
    <xf numFmtId="0" fontId="0" fillId="0" borderId="12" xfId="0" applyBorder="1" applyAlignment="1" applyProtection="1">
      <alignment vertical="top"/>
      <protection locked="0"/>
    </xf>
    <xf numFmtId="1" fontId="0" fillId="0" borderId="8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" fontId="0" fillId="0" borderId="13" xfId="0" applyNumberFormat="1" applyBorder="1" applyAlignment="1" applyProtection="1">
      <alignment horizontal="center" vertical="center"/>
    </xf>
    <xf numFmtId="1" fontId="0" fillId="0" borderId="12" xfId="0" applyNumberFormat="1" applyBorder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externalLink" Target="externalLinks/externalLink114.xml"/><Relationship Id="rId299" Type="http://schemas.openxmlformats.org/officeDocument/2006/relationships/externalLink" Target="externalLinks/externalLink296.xml"/><Relationship Id="rId21" Type="http://schemas.openxmlformats.org/officeDocument/2006/relationships/externalLink" Target="externalLinks/externalLink18.xml"/><Relationship Id="rId63" Type="http://schemas.openxmlformats.org/officeDocument/2006/relationships/externalLink" Target="externalLinks/externalLink60.xml"/><Relationship Id="rId159" Type="http://schemas.openxmlformats.org/officeDocument/2006/relationships/externalLink" Target="externalLinks/externalLink156.xml"/><Relationship Id="rId324" Type="http://schemas.openxmlformats.org/officeDocument/2006/relationships/externalLink" Target="externalLinks/externalLink321.xml"/><Relationship Id="rId366" Type="http://schemas.openxmlformats.org/officeDocument/2006/relationships/externalLink" Target="externalLinks/externalLink363.xml"/><Relationship Id="rId531" Type="http://schemas.openxmlformats.org/officeDocument/2006/relationships/externalLink" Target="externalLinks/externalLink528.xml"/><Relationship Id="rId170" Type="http://schemas.openxmlformats.org/officeDocument/2006/relationships/externalLink" Target="externalLinks/externalLink167.xml"/><Relationship Id="rId226" Type="http://schemas.openxmlformats.org/officeDocument/2006/relationships/externalLink" Target="externalLinks/externalLink223.xml"/><Relationship Id="rId433" Type="http://schemas.openxmlformats.org/officeDocument/2006/relationships/externalLink" Target="externalLinks/externalLink430.xml"/><Relationship Id="rId268" Type="http://schemas.openxmlformats.org/officeDocument/2006/relationships/externalLink" Target="externalLinks/externalLink265.xml"/><Relationship Id="rId475" Type="http://schemas.openxmlformats.org/officeDocument/2006/relationships/externalLink" Target="externalLinks/externalLink472.xml"/><Relationship Id="rId32" Type="http://schemas.openxmlformats.org/officeDocument/2006/relationships/externalLink" Target="externalLinks/externalLink29.xml"/><Relationship Id="rId74" Type="http://schemas.openxmlformats.org/officeDocument/2006/relationships/externalLink" Target="externalLinks/externalLink71.xml"/><Relationship Id="rId128" Type="http://schemas.openxmlformats.org/officeDocument/2006/relationships/externalLink" Target="externalLinks/externalLink125.xml"/><Relationship Id="rId335" Type="http://schemas.openxmlformats.org/officeDocument/2006/relationships/externalLink" Target="externalLinks/externalLink332.xml"/><Relationship Id="rId377" Type="http://schemas.openxmlformats.org/officeDocument/2006/relationships/externalLink" Target="externalLinks/externalLink374.xml"/><Relationship Id="rId500" Type="http://schemas.openxmlformats.org/officeDocument/2006/relationships/externalLink" Target="externalLinks/externalLink497.xml"/><Relationship Id="rId5" Type="http://schemas.openxmlformats.org/officeDocument/2006/relationships/externalLink" Target="externalLinks/externalLink2.xml"/><Relationship Id="rId181" Type="http://schemas.openxmlformats.org/officeDocument/2006/relationships/externalLink" Target="externalLinks/externalLink178.xml"/><Relationship Id="rId237" Type="http://schemas.openxmlformats.org/officeDocument/2006/relationships/externalLink" Target="externalLinks/externalLink234.xml"/><Relationship Id="rId402" Type="http://schemas.openxmlformats.org/officeDocument/2006/relationships/externalLink" Target="externalLinks/externalLink399.xml"/><Relationship Id="rId279" Type="http://schemas.openxmlformats.org/officeDocument/2006/relationships/externalLink" Target="externalLinks/externalLink276.xml"/><Relationship Id="rId444" Type="http://schemas.openxmlformats.org/officeDocument/2006/relationships/externalLink" Target="externalLinks/externalLink441.xml"/><Relationship Id="rId486" Type="http://schemas.openxmlformats.org/officeDocument/2006/relationships/externalLink" Target="externalLinks/externalLink483.xml"/><Relationship Id="rId43" Type="http://schemas.openxmlformats.org/officeDocument/2006/relationships/externalLink" Target="externalLinks/externalLink40.xml"/><Relationship Id="rId139" Type="http://schemas.openxmlformats.org/officeDocument/2006/relationships/externalLink" Target="externalLinks/externalLink136.xml"/><Relationship Id="rId290" Type="http://schemas.openxmlformats.org/officeDocument/2006/relationships/externalLink" Target="externalLinks/externalLink287.xml"/><Relationship Id="rId304" Type="http://schemas.openxmlformats.org/officeDocument/2006/relationships/externalLink" Target="externalLinks/externalLink301.xml"/><Relationship Id="rId346" Type="http://schemas.openxmlformats.org/officeDocument/2006/relationships/externalLink" Target="externalLinks/externalLink343.xml"/><Relationship Id="rId388" Type="http://schemas.openxmlformats.org/officeDocument/2006/relationships/externalLink" Target="externalLinks/externalLink385.xml"/><Relationship Id="rId511" Type="http://schemas.openxmlformats.org/officeDocument/2006/relationships/externalLink" Target="externalLinks/externalLink508.xml"/><Relationship Id="rId85" Type="http://schemas.openxmlformats.org/officeDocument/2006/relationships/externalLink" Target="externalLinks/externalLink82.xml"/><Relationship Id="rId150" Type="http://schemas.openxmlformats.org/officeDocument/2006/relationships/externalLink" Target="externalLinks/externalLink147.xml"/><Relationship Id="rId192" Type="http://schemas.openxmlformats.org/officeDocument/2006/relationships/externalLink" Target="externalLinks/externalLink189.xml"/><Relationship Id="rId206" Type="http://schemas.openxmlformats.org/officeDocument/2006/relationships/externalLink" Target="externalLinks/externalLink203.xml"/><Relationship Id="rId413" Type="http://schemas.openxmlformats.org/officeDocument/2006/relationships/externalLink" Target="externalLinks/externalLink410.xml"/><Relationship Id="rId248" Type="http://schemas.openxmlformats.org/officeDocument/2006/relationships/externalLink" Target="externalLinks/externalLink245.xml"/><Relationship Id="rId455" Type="http://schemas.openxmlformats.org/officeDocument/2006/relationships/externalLink" Target="externalLinks/externalLink452.xml"/><Relationship Id="rId497" Type="http://schemas.openxmlformats.org/officeDocument/2006/relationships/externalLink" Target="externalLinks/externalLink494.xml"/><Relationship Id="rId12" Type="http://schemas.openxmlformats.org/officeDocument/2006/relationships/externalLink" Target="externalLinks/externalLink9.xml"/><Relationship Id="rId108" Type="http://schemas.openxmlformats.org/officeDocument/2006/relationships/externalLink" Target="externalLinks/externalLink105.xml"/><Relationship Id="rId315" Type="http://schemas.openxmlformats.org/officeDocument/2006/relationships/externalLink" Target="externalLinks/externalLink312.xml"/><Relationship Id="rId357" Type="http://schemas.openxmlformats.org/officeDocument/2006/relationships/externalLink" Target="externalLinks/externalLink354.xml"/><Relationship Id="rId522" Type="http://schemas.openxmlformats.org/officeDocument/2006/relationships/externalLink" Target="externalLinks/externalLink519.xml"/><Relationship Id="rId54" Type="http://schemas.openxmlformats.org/officeDocument/2006/relationships/externalLink" Target="externalLinks/externalLink51.xml"/><Relationship Id="rId96" Type="http://schemas.openxmlformats.org/officeDocument/2006/relationships/externalLink" Target="externalLinks/externalLink93.xml"/><Relationship Id="rId161" Type="http://schemas.openxmlformats.org/officeDocument/2006/relationships/externalLink" Target="externalLinks/externalLink158.xml"/><Relationship Id="rId217" Type="http://schemas.openxmlformats.org/officeDocument/2006/relationships/externalLink" Target="externalLinks/externalLink214.xml"/><Relationship Id="rId399" Type="http://schemas.openxmlformats.org/officeDocument/2006/relationships/externalLink" Target="externalLinks/externalLink396.xml"/><Relationship Id="rId259" Type="http://schemas.openxmlformats.org/officeDocument/2006/relationships/externalLink" Target="externalLinks/externalLink256.xml"/><Relationship Id="rId424" Type="http://schemas.openxmlformats.org/officeDocument/2006/relationships/externalLink" Target="externalLinks/externalLink421.xml"/><Relationship Id="rId466" Type="http://schemas.openxmlformats.org/officeDocument/2006/relationships/externalLink" Target="externalLinks/externalLink463.xml"/><Relationship Id="rId23" Type="http://schemas.openxmlformats.org/officeDocument/2006/relationships/externalLink" Target="externalLinks/externalLink20.xml"/><Relationship Id="rId119" Type="http://schemas.openxmlformats.org/officeDocument/2006/relationships/externalLink" Target="externalLinks/externalLink116.xml"/><Relationship Id="rId270" Type="http://schemas.openxmlformats.org/officeDocument/2006/relationships/externalLink" Target="externalLinks/externalLink267.xml"/><Relationship Id="rId326" Type="http://schemas.openxmlformats.org/officeDocument/2006/relationships/externalLink" Target="externalLinks/externalLink323.xml"/><Relationship Id="rId533" Type="http://schemas.openxmlformats.org/officeDocument/2006/relationships/externalLink" Target="externalLinks/externalLink530.xml"/><Relationship Id="rId65" Type="http://schemas.openxmlformats.org/officeDocument/2006/relationships/externalLink" Target="externalLinks/externalLink62.xml"/><Relationship Id="rId130" Type="http://schemas.openxmlformats.org/officeDocument/2006/relationships/externalLink" Target="externalLinks/externalLink127.xml"/><Relationship Id="rId368" Type="http://schemas.openxmlformats.org/officeDocument/2006/relationships/externalLink" Target="externalLinks/externalLink365.xml"/><Relationship Id="rId172" Type="http://schemas.openxmlformats.org/officeDocument/2006/relationships/externalLink" Target="externalLinks/externalLink169.xml"/><Relationship Id="rId228" Type="http://schemas.openxmlformats.org/officeDocument/2006/relationships/externalLink" Target="externalLinks/externalLink225.xml"/><Relationship Id="rId435" Type="http://schemas.openxmlformats.org/officeDocument/2006/relationships/externalLink" Target="externalLinks/externalLink432.xml"/><Relationship Id="rId477" Type="http://schemas.openxmlformats.org/officeDocument/2006/relationships/externalLink" Target="externalLinks/externalLink474.xml"/><Relationship Id="rId281" Type="http://schemas.openxmlformats.org/officeDocument/2006/relationships/externalLink" Target="externalLinks/externalLink278.xml"/><Relationship Id="rId337" Type="http://schemas.openxmlformats.org/officeDocument/2006/relationships/externalLink" Target="externalLinks/externalLink334.xml"/><Relationship Id="rId502" Type="http://schemas.openxmlformats.org/officeDocument/2006/relationships/externalLink" Target="externalLinks/externalLink499.xml"/><Relationship Id="rId34" Type="http://schemas.openxmlformats.org/officeDocument/2006/relationships/externalLink" Target="externalLinks/externalLink31.xml"/><Relationship Id="rId76" Type="http://schemas.openxmlformats.org/officeDocument/2006/relationships/externalLink" Target="externalLinks/externalLink73.xml"/><Relationship Id="rId141" Type="http://schemas.openxmlformats.org/officeDocument/2006/relationships/externalLink" Target="externalLinks/externalLink138.xml"/><Relationship Id="rId379" Type="http://schemas.openxmlformats.org/officeDocument/2006/relationships/externalLink" Target="externalLinks/externalLink376.xml"/><Relationship Id="rId7" Type="http://schemas.openxmlformats.org/officeDocument/2006/relationships/externalLink" Target="externalLinks/externalLink4.xml"/><Relationship Id="rId183" Type="http://schemas.openxmlformats.org/officeDocument/2006/relationships/externalLink" Target="externalLinks/externalLink180.xml"/><Relationship Id="rId239" Type="http://schemas.openxmlformats.org/officeDocument/2006/relationships/externalLink" Target="externalLinks/externalLink236.xml"/><Relationship Id="rId390" Type="http://schemas.openxmlformats.org/officeDocument/2006/relationships/externalLink" Target="externalLinks/externalLink387.xml"/><Relationship Id="rId404" Type="http://schemas.openxmlformats.org/officeDocument/2006/relationships/externalLink" Target="externalLinks/externalLink401.xml"/><Relationship Id="rId446" Type="http://schemas.openxmlformats.org/officeDocument/2006/relationships/externalLink" Target="externalLinks/externalLink443.xml"/><Relationship Id="rId250" Type="http://schemas.openxmlformats.org/officeDocument/2006/relationships/externalLink" Target="externalLinks/externalLink247.xml"/><Relationship Id="rId292" Type="http://schemas.openxmlformats.org/officeDocument/2006/relationships/externalLink" Target="externalLinks/externalLink289.xml"/><Relationship Id="rId306" Type="http://schemas.openxmlformats.org/officeDocument/2006/relationships/externalLink" Target="externalLinks/externalLink303.xml"/><Relationship Id="rId488" Type="http://schemas.openxmlformats.org/officeDocument/2006/relationships/externalLink" Target="externalLinks/externalLink485.xml"/><Relationship Id="rId45" Type="http://schemas.openxmlformats.org/officeDocument/2006/relationships/externalLink" Target="externalLinks/externalLink42.xml"/><Relationship Id="rId87" Type="http://schemas.openxmlformats.org/officeDocument/2006/relationships/externalLink" Target="externalLinks/externalLink84.xml"/><Relationship Id="rId110" Type="http://schemas.openxmlformats.org/officeDocument/2006/relationships/externalLink" Target="externalLinks/externalLink107.xml"/><Relationship Id="rId348" Type="http://schemas.openxmlformats.org/officeDocument/2006/relationships/externalLink" Target="externalLinks/externalLink345.xml"/><Relationship Id="rId513" Type="http://schemas.openxmlformats.org/officeDocument/2006/relationships/externalLink" Target="externalLinks/externalLink510.xml"/><Relationship Id="rId152" Type="http://schemas.openxmlformats.org/officeDocument/2006/relationships/externalLink" Target="externalLinks/externalLink149.xml"/><Relationship Id="rId194" Type="http://schemas.openxmlformats.org/officeDocument/2006/relationships/externalLink" Target="externalLinks/externalLink191.xml"/><Relationship Id="rId208" Type="http://schemas.openxmlformats.org/officeDocument/2006/relationships/externalLink" Target="externalLinks/externalLink205.xml"/><Relationship Id="rId415" Type="http://schemas.openxmlformats.org/officeDocument/2006/relationships/externalLink" Target="externalLinks/externalLink412.xml"/><Relationship Id="rId457" Type="http://schemas.openxmlformats.org/officeDocument/2006/relationships/externalLink" Target="externalLinks/externalLink454.xml"/><Relationship Id="rId261" Type="http://schemas.openxmlformats.org/officeDocument/2006/relationships/externalLink" Target="externalLinks/externalLink258.xml"/><Relationship Id="rId499" Type="http://schemas.openxmlformats.org/officeDocument/2006/relationships/externalLink" Target="externalLinks/externalLink496.xml"/><Relationship Id="rId14" Type="http://schemas.openxmlformats.org/officeDocument/2006/relationships/externalLink" Target="externalLinks/externalLink11.xml"/><Relationship Id="rId56" Type="http://schemas.openxmlformats.org/officeDocument/2006/relationships/externalLink" Target="externalLinks/externalLink53.xml"/><Relationship Id="rId317" Type="http://schemas.openxmlformats.org/officeDocument/2006/relationships/externalLink" Target="externalLinks/externalLink314.xml"/><Relationship Id="rId359" Type="http://schemas.openxmlformats.org/officeDocument/2006/relationships/externalLink" Target="externalLinks/externalLink356.xml"/><Relationship Id="rId524" Type="http://schemas.openxmlformats.org/officeDocument/2006/relationships/externalLink" Target="externalLinks/externalLink521.xml"/><Relationship Id="rId98" Type="http://schemas.openxmlformats.org/officeDocument/2006/relationships/externalLink" Target="externalLinks/externalLink95.xml"/><Relationship Id="rId121" Type="http://schemas.openxmlformats.org/officeDocument/2006/relationships/externalLink" Target="externalLinks/externalLink118.xml"/><Relationship Id="rId163" Type="http://schemas.openxmlformats.org/officeDocument/2006/relationships/externalLink" Target="externalLinks/externalLink160.xml"/><Relationship Id="rId219" Type="http://schemas.openxmlformats.org/officeDocument/2006/relationships/externalLink" Target="externalLinks/externalLink216.xml"/><Relationship Id="rId370" Type="http://schemas.openxmlformats.org/officeDocument/2006/relationships/externalLink" Target="externalLinks/externalLink367.xml"/><Relationship Id="rId426" Type="http://schemas.openxmlformats.org/officeDocument/2006/relationships/externalLink" Target="externalLinks/externalLink423.xml"/><Relationship Id="rId230" Type="http://schemas.openxmlformats.org/officeDocument/2006/relationships/externalLink" Target="externalLinks/externalLink227.xml"/><Relationship Id="rId468" Type="http://schemas.openxmlformats.org/officeDocument/2006/relationships/externalLink" Target="externalLinks/externalLink465.xml"/><Relationship Id="rId25" Type="http://schemas.openxmlformats.org/officeDocument/2006/relationships/externalLink" Target="externalLinks/externalLink22.xml"/><Relationship Id="rId46" Type="http://schemas.openxmlformats.org/officeDocument/2006/relationships/externalLink" Target="externalLinks/externalLink43.xml"/><Relationship Id="rId67" Type="http://schemas.openxmlformats.org/officeDocument/2006/relationships/externalLink" Target="externalLinks/externalLink64.xml"/><Relationship Id="rId272" Type="http://schemas.openxmlformats.org/officeDocument/2006/relationships/externalLink" Target="externalLinks/externalLink269.xml"/><Relationship Id="rId293" Type="http://schemas.openxmlformats.org/officeDocument/2006/relationships/externalLink" Target="externalLinks/externalLink290.xml"/><Relationship Id="rId307" Type="http://schemas.openxmlformats.org/officeDocument/2006/relationships/externalLink" Target="externalLinks/externalLink304.xml"/><Relationship Id="rId328" Type="http://schemas.openxmlformats.org/officeDocument/2006/relationships/externalLink" Target="externalLinks/externalLink325.xml"/><Relationship Id="rId349" Type="http://schemas.openxmlformats.org/officeDocument/2006/relationships/externalLink" Target="externalLinks/externalLink346.xml"/><Relationship Id="rId514" Type="http://schemas.openxmlformats.org/officeDocument/2006/relationships/externalLink" Target="externalLinks/externalLink511.xml"/><Relationship Id="rId535" Type="http://schemas.openxmlformats.org/officeDocument/2006/relationships/externalLink" Target="externalLinks/externalLink532.xml"/><Relationship Id="rId88" Type="http://schemas.openxmlformats.org/officeDocument/2006/relationships/externalLink" Target="externalLinks/externalLink85.xml"/><Relationship Id="rId111" Type="http://schemas.openxmlformats.org/officeDocument/2006/relationships/externalLink" Target="externalLinks/externalLink108.xml"/><Relationship Id="rId132" Type="http://schemas.openxmlformats.org/officeDocument/2006/relationships/externalLink" Target="externalLinks/externalLink129.xml"/><Relationship Id="rId153" Type="http://schemas.openxmlformats.org/officeDocument/2006/relationships/externalLink" Target="externalLinks/externalLink150.xml"/><Relationship Id="rId174" Type="http://schemas.openxmlformats.org/officeDocument/2006/relationships/externalLink" Target="externalLinks/externalLink171.xml"/><Relationship Id="rId195" Type="http://schemas.openxmlformats.org/officeDocument/2006/relationships/externalLink" Target="externalLinks/externalLink192.xml"/><Relationship Id="rId209" Type="http://schemas.openxmlformats.org/officeDocument/2006/relationships/externalLink" Target="externalLinks/externalLink206.xml"/><Relationship Id="rId360" Type="http://schemas.openxmlformats.org/officeDocument/2006/relationships/externalLink" Target="externalLinks/externalLink357.xml"/><Relationship Id="rId381" Type="http://schemas.openxmlformats.org/officeDocument/2006/relationships/externalLink" Target="externalLinks/externalLink378.xml"/><Relationship Id="rId416" Type="http://schemas.openxmlformats.org/officeDocument/2006/relationships/externalLink" Target="externalLinks/externalLink413.xml"/><Relationship Id="rId220" Type="http://schemas.openxmlformats.org/officeDocument/2006/relationships/externalLink" Target="externalLinks/externalLink217.xml"/><Relationship Id="rId241" Type="http://schemas.openxmlformats.org/officeDocument/2006/relationships/externalLink" Target="externalLinks/externalLink238.xml"/><Relationship Id="rId437" Type="http://schemas.openxmlformats.org/officeDocument/2006/relationships/externalLink" Target="externalLinks/externalLink434.xml"/><Relationship Id="rId458" Type="http://schemas.openxmlformats.org/officeDocument/2006/relationships/externalLink" Target="externalLinks/externalLink455.xml"/><Relationship Id="rId479" Type="http://schemas.openxmlformats.org/officeDocument/2006/relationships/externalLink" Target="externalLinks/externalLink476.xml"/><Relationship Id="rId15" Type="http://schemas.openxmlformats.org/officeDocument/2006/relationships/externalLink" Target="externalLinks/externalLink12.xml"/><Relationship Id="rId36" Type="http://schemas.openxmlformats.org/officeDocument/2006/relationships/externalLink" Target="externalLinks/externalLink33.xml"/><Relationship Id="rId57" Type="http://schemas.openxmlformats.org/officeDocument/2006/relationships/externalLink" Target="externalLinks/externalLink54.xml"/><Relationship Id="rId262" Type="http://schemas.openxmlformats.org/officeDocument/2006/relationships/externalLink" Target="externalLinks/externalLink259.xml"/><Relationship Id="rId283" Type="http://schemas.openxmlformats.org/officeDocument/2006/relationships/externalLink" Target="externalLinks/externalLink280.xml"/><Relationship Id="rId318" Type="http://schemas.openxmlformats.org/officeDocument/2006/relationships/externalLink" Target="externalLinks/externalLink315.xml"/><Relationship Id="rId339" Type="http://schemas.openxmlformats.org/officeDocument/2006/relationships/externalLink" Target="externalLinks/externalLink336.xml"/><Relationship Id="rId490" Type="http://schemas.openxmlformats.org/officeDocument/2006/relationships/externalLink" Target="externalLinks/externalLink487.xml"/><Relationship Id="rId504" Type="http://schemas.openxmlformats.org/officeDocument/2006/relationships/externalLink" Target="externalLinks/externalLink501.xml"/><Relationship Id="rId525" Type="http://schemas.openxmlformats.org/officeDocument/2006/relationships/externalLink" Target="externalLinks/externalLink522.xml"/><Relationship Id="rId78" Type="http://schemas.openxmlformats.org/officeDocument/2006/relationships/externalLink" Target="externalLinks/externalLink75.xml"/><Relationship Id="rId99" Type="http://schemas.openxmlformats.org/officeDocument/2006/relationships/externalLink" Target="externalLinks/externalLink96.xml"/><Relationship Id="rId101" Type="http://schemas.openxmlformats.org/officeDocument/2006/relationships/externalLink" Target="externalLinks/externalLink98.xml"/><Relationship Id="rId122" Type="http://schemas.openxmlformats.org/officeDocument/2006/relationships/externalLink" Target="externalLinks/externalLink119.xml"/><Relationship Id="rId143" Type="http://schemas.openxmlformats.org/officeDocument/2006/relationships/externalLink" Target="externalLinks/externalLink140.xml"/><Relationship Id="rId164" Type="http://schemas.openxmlformats.org/officeDocument/2006/relationships/externalLink" Target="externalLinks/externalLink161.xml"/><Relationship Id="rId185" Type="http://schemas.openxmlformats.org/officeDocument/2006/relationships/externalLink" Target="externalLinks/externalLink182.xml"/><Relationship Id="rId350" Type="http://schemas.openxmlformats.org/officeDocument/2006/relationships/externalLink" Target="externalLinks/externalLink347.xml"/><Relationship Id="rId371" Type="http://schemas.openxmlformats.org/officeDocument/2006/relationships/externalLink" Target="externalLinks/externalLink368.xml"/><Relationship Id="rId406" Type="http://schemas.openxmlformats.org/officeDocument/2006/relationships/externalLink" Target="externalLinks/externalLink403.xml"/><Relationship Id="rId9" Type="http://schemas.openxmlformats.org/officeDocument/2006/relationships/externalLink" Target="externalLinks/externalLink6.xml"/><Relationship Id="rId210" Type="http://schemas.openxmlformats.org/officeDocument/2006/relationships/externalLink" Target="externalLinks/externalLink207.xml"/><Relationship Id="rId392" Type="http://schemas.openxmlformats.org/officeDocument/2006/relationships/externalLink" Target="externalLinks/externalLink389.xml"/><Relationship Id="rId427" Type="http://schemas.openxmlformats.org/officeDocument/2006/relationships/externalLink" Target="externalLinks/externalLink424.xml"/><Relationship Id="rId448" Type="http://schemas.openxmlformats.org/officeDocument/2006/relationships/externalLink" Target="externalLinks/externalLink445.xml"/><Relationship Id="rId469" Type="http://schemas.openxmlformats.org/officeDocument/2006/relationships/externalLink" Target="externalLinks/externalLink466.xml"/><Relationship Id="rId26" Type="http://schemas.openxmlformats.org/officeDocument/2006/relationships/externalLink" Target="externalLinks/externalLink23.xml"/><Relationship Id="rId231" Type="http://schemas.openxmlformats.org/officeDocument/2006/relationships/externalLink" Target="externalLinks/externalLink228.xml"/><Relationship Id="rId252" Type="http://schemas.openxmlformats.org/officeDocument/2006/relationships/externalLink" Target="externalLinks/externalLink249.xml"/><Relationship Id="rId273" Type="http://schemas.openxmlformats.org/officeDocument/2006/relationships/externalLink" Target="externalLinks/externalLink270.xml"/><Relationship Id="rId294" Type="http://schemas.openxmlformats.org/officeDocument/2006/relationships/externalLink" Target="externalLinks/externalLink291.xml"/><Relationship Id="rId308" Type="http://schemas.openxmlformats.org/officeDocument/2006/relationships/externalLink" Target="externalLinks/externalLink305.xml"/><Relationship Id="rId329" Type="http://schemas.openxmlformats.org/officeDocument/2006/relationships/externalLink" Target="externalLinks/externalLink326.xml"/><Relationship Id="rId480" Type="http://schemas.openxmlformats.org/officeDocument/2006/relationships/externalLink" Target="externalLinks/externalLink477.xml"/><Relationship Id="rId515" Type="http://schemas.openxmlformats.org/officeDocument/2006/relationships/externalLink" Target="externalLinks/externalLink512.xml"/><Relationship Id="rId536" Type="http://schemas.openxmlformats.org/officeDocument/2006/relationships/theme" Target="theme/theme1.xml"/><Relationship Id="rId47" Type="http://schemas.openxmlformats.org/officeDocument/2006/relationships/externalLink" Target="externalLinks/externalLink44.xml"/><Relationship Id="rId68" Type="http://schemas.openxmlformats.org/officeDocument/2006/relationships/externalLink" Target="externalLinks/externalLink65.xml"/><Relationship Id="rId89" Type="http://schemas.openxmlformats.org/officeDocument/2006/relationships/externalLink" Target="externalLinks/externalLink86.xml"/><Relationship Id="rId112" Type="http://schemas.openxmlformats.org/officeDocument/2006/relationships/externalLink" Target="externalLinks/externalLink109.xml"/><Relationship Id="rId133" Type="http://schemas.openxmlformats.org/officeDocument/2006/relationships/externalLink" Target="externalLinks/externalLink130.xml"/><Relationship Id="rId154" Type="http://schemas.openxmlformats.org/officeDocument/2006/relationships/externalLink" Target="externalLinks/externalLink151.xml"/><Relationship Id="rId175" Type="http://schemas.openxmlformats.org/officeDocument/2006/relationships/externalLink" Target="externalLinks/externalLink172.xml"/><Relationship Id="rId340" Type="http://schemas.openxmlformats.org/officeDocument/2006/relationships/externalLink" Target="externalLinks/externalLink337.xml"/><Relationship Id="rId361" Type="http://schemas.openxmlformats.org/officeDocument/2006/relationships/externalLink" Target="externalLinks/externalLink358.xml"/><Relationship Id="rId196" Type="http://schemas.openxmlformats.org/officeDocument/2006/relationships/externalLink" Target="externalLinks/externalLink193.xml"/><Relationship Id="rId200" Type="http://schemas.openxmlformats.org/officeDocument/2006/relationships/externalLink" Target="externalLinks/externalLink197.xml"/><Relationship Id="rId382" Type="http://schemas.openxmlformats.org/officeDocument/2006/relationships/externalLink" Target="externalLinks/externalLink379.xml"/><Relationship Id="rId417" Type="http://schemas.openxmlformats.org/officeDocument/2006/relationships/externalLink" Target="externalLinks/externalLink414.xml"/><Relationship Id="rId438" Type="http://schemas.openxmlformats.org/officeDocument/2006/relationships/externalLink" Target="externalLinks/externalLink435.xml"/><Relationship Id="rId459" Type="http://schemas.openxmlformats.org/officeDocument/2006/relationships/externalLink" Target="externalLinks/externalLink456.xml"/><Relationship Id="rId16" Type="http://schemas.openxmlformats.org/officeDocument/2006/relationships/externalLink" Target="externalLinks/externalLink13.xml"/><Relationship Id="rId221" Type="http://schemas.openxmlformats.org/officeDocument/2006/relationships/externalLink" Target="externalLinks/externalLink218.xml"/><Relationship Id="rId242" Type="http://schemas.openxmlformats.org/officeDocument/2006/relationships/externalLink" Target="externalLinks/externalLink239.xml"/><Relationship Id="rId263" Type="http://schemas.openxmlformats.org/officeDocument/2006/relationships/externalLink" Target="externalLinks/externalLink260.xml"/><Relationship Id="rId284" Type="http://schemas.openxmlformats.org/officeDocument/2006/relationships/externalLink" Target="externalLinks/externalLink281.xml"/><Relationship Id="rId319" Type="http://schemas.openxmlformats.org/officeDocument/2006/relationships/externalLink" Target="externalLinks/externalLink316.xml"/><Relationship Id="rId470" Type="http://schemas.openxmlformats.org/officeDocument/2006/relationships/externalLink" Target="externalLinks/externalLink467.xml"/><Relationship Id="rId491" Type="http://schemas.openxmlformats.org/officeDocument/2006/relationships/externalLink" Target="externalLinks/externalLink488.xml"/><Relationship Id="rId505" Type="http://schemas.openxmlformats.org/officeDocument/2006/relationships/externalLink" Target="externalLinks/externalLink502.xml"/><Relationship Id="rId526" Type="http://schemas.openxmlformats.org/officeDocument/2006/relationships/externalLink" Target="externalLinks/externalLink523.xml"/><Relationship Id="rId37" Type="http://schemas.openxmlformats.org/officeDocument/2006/relationships/externalLink" Target="externalLinks/externalLink34.xml"/><Relationship Id="rId58" Type="http://schemas.openxmlformats.org/officeDocument/2006/relationships/externalLink" Target="externalLinks/externalLink55.xml"/><Relationship Id="rId79" Type="http://schemas.openxmlformats.org/officeDocument/2006/relationships/externalLink" Target="externalLinks/externalLink76.xml"/><Relationship Id="rId102" Type="http://schemas.openxmlformats.org/officeDocument/2006/relationships/externalLink" Target="externalLinks/externalLink99.xml"/><Relationship Id="rId123" Type="http://schemas.openxmlformats.org/officeDocument/2006/relationships/externalLink" Target="externalLinks/externalLink120.xml"/><Relationship Id="rId144" Type="http://schemas.openxmlformats.org/officeDocument/2006/relationships/externalLink" Target="externalLinks/externalLink141.xml"/><Relationship Id="rId330" Type="http://schemas.openxmlformats.org/officeDocument/2006/relationships/externalLink" Target="externalLinks/externalLink327.xml"/><Relationship Id="rId90" Type="http://schemas.openxmlformats.org/officeDocument/2006/relationships/externalLink" Target="externalLinks/externalLink87.xml"/><Relationship Id="rId165" Type="http://schemas.openxmlformats.org/officeDocument/2006/relationships/externalLink" Target="externalLinks/externalLink162.xml"/><Relationship Id="rId186" Type="http://schemas.openxmlformats.org/officeDocument/2006/relationships/externalLink" Target="externalLinks/externalLink183.xml"/><Relationship Id="rId351" Type="http://schemas.openxmlformats.org/officeDocument/2006/relationships/externalLink" Target="externalLinks/externalLink348.xml"/><Relationship Id="rId372" Type="http://schemas.openxmlformats.org/officeDocument/2006/relationships/externalLink" Target="externalLinks/externalLink369.xml"/><Relationship Id="rId393" Type="http://schemas.openxmlformats.org/officeDocument/2006/relationships/externalLink" Target="externalLinks/externalLink390.xml"/><Relationship Id="rId407" Type="http://schemas.openxmlformats.org/officeDocument/2006/relationships/externalLink" Target="externalLinks/externalLink404.xml"/><Relationship Id="rId428" Type="http://schemas.openxmlformats.org/officeDocument/2006/relationships/externalLink" Target="externalLinks/externalLink425.xml"/><Relationship Id="rId449" Type="http://schemas.openxmlformats.org/officeDocument/2006/relationships/externalLink" Target="externalLinks/externalLink446.xml"/><Relationship Id="rId211" Type="http://schemas.openxmlformats.org/officeDocument/2006/relationships/externalLink" Target="externalLinks/externalLink208.xml"/><Relationship Id="rId232" Type="http://schemas.openxmlformats.org/officeDocument/2006/relationships/externalLink" Target="externalLinks/externalLink229.xml"/><Relationship Id="rId253" Type="http://schemas.openxmlformats.org/officeDocument/2006/relationships/externalLink" Target="externalLinks/externalLink250.xml"/><Relationship Id="rId274" Type="http://schemas.openxmlformats.org/officeDocument/2006/relationships/externalLink" Target="externalLinks/externalLink271.xml"/><Relationship Id="rId295" Type="http://schemas.openxmlformats.org/officeDocument/2006/relationships/externalLink" Target="externalLinks/externalLink292.xml"/><Relationship Id="rId309" Type="http://schemas.openxmlformats.org/officeDocument/2006/relationships/externalLink" Target="externalLinks/externalLink306.xml"/><Relationship Id="rId460" Type="http://schemas.openxmlformats.org/officeDocument/2006/relationships/externalLink" Target="externalLinks/externalLink457.xml"/><Relationship Id="rId481" Type="http://schemas.openxmlformats.org/officeDocument/2006/relationships/externalLink" Target="externalLinks/externalLink478.xml"/><Relationship Id="rId516" Type="http://schemas.openxmlformats.org/officeDocument/2006/relationships/externalLink" Target="externalLinks/externalLink513.xml"/><Relationship Id="rId27" Type="http://schemas.openxmlformats.org/officeDocument/2006/relationships/externalLink" Target="externalLinks/externalLink24.xml"/><Relationship Id="rId48" Type="http://schemas.openxmlformats.org/officeDocument/2006/relationships/externalLink" Target="externalLinks/externalLink45.xml"/><Relationship Id="rId69" Type="http://schemas.openxmlformats.org/officeDocument/2006/relationships/externalLink" Target="externalLinks/externalLink66.xml"/><Relationship Id="rId113" Type="http://schemas.openxmlformats.org/officeDocument/2006/relationships/externalLink" Target="externalLinks/externalLink110.xml"/><Relationship Id="rId134" Type="http://schemas.openxmlformats.org/officeDocument/2006/relationships/externalLink" Target="externalLinks/externalLink131.xml"/><Relationship Id="rId320" Type="http://schemas.openxmlformats.org/officeDocument/2006/relationships/externalLink" Target="externalLinks/externalLink317.xml"/><Relationship Id="rId537" Type="http://schemas.openxmlformats.org/officeDocument/2006/relationships/styles" Target="styles.xml"/><Relationship Id="rId80" Type="http://schemas.openxmlformats.org/officeDocument/2006/relationships/externalLink" Target="externalLinks/externalLink77.xml"/><Relationship Id="rId155" Type="http://schemas.openxmlformats.org/officeDocument/2006/relationships/externalLink" Target="externalLinks/externalLink152.xml"/><Relationship Id="rId176" Type="http://schemas.openxmlformats.org/officeDocument/2006/relationships/externalLink" Target="externalLinks/externalLink173.xml"/><Relationship Id="rId197" Type="http://schemas.openxmlformats.org/officeDocument/2006/relationships/externalLink" Target="externalLinks/externalLink194.xml"/><Relationship Id="rId341" Type="http://schemas.openxmlformats.org/officeDocument/2006/relationships/externalLink" Target="externalLinks/externalLink338.xml"/><Relationship Id="rId362" Type="http://schemas.openxmlformats.org/officeDocument/2006/relationships/externalLink" Target="externalLinks/externalLink359.xml"/><Relationship Id="rId383" Type="http://schemas.openxmlformats.org/officeDocument/2006/relationships/externalLink" Target="externalLinks/externalLink380.xml"/><Relationship Id="rId418" Type="http://schemas.openxmlformats.org/officeDocument/2006/relationships/externalLink" Target="externalLinks/externalLink415.xml"/><Relationship Id="rId439" Type="http://schemas.openxmlformats.org/officeDocument/2006/relationships/externalLink" Target="externalLinks/externalLink436.xml"/><Relationship Id="rId201" Type="http://schemas.openxmlformats.org/officeDocument/2006/relationships/externalLink" Target="externalLinks/externalLink198.xml"/><Relationship Id="rId222" Type="http://schemas.openxmlformats.org/officeDocument/2006/relationships/externalLink" Target="externalLinks/externalLink219.xml"/><Relationship Id="rId243" Type="http://schemas.openxmlformats.org/officeDocument/2006/relationships/externalLink" Target="externalLinks/externalLink240.xml"/><Relationship Id="rId264" Type="http://schemas.openxmlformats.org/officeDocument/2006/relationships/externalLink" Target="externalLinks/externalLink261.xml"/><Relationship Id="rId285" Type="http://schemas.openxmlformats.org/officeDocument/2006/relationships/externalLink" Target="externalLinks/externalLink282.xml"/><Relationship Id="rId450" Type="http://schemas.openxmlformats.org/officeDocument/2006/relationships/externalLink" Target="externalLinks/externalLink447.xml"/><Relationship Id="rId471" Type="http://schemas.openxmlformats.org/officeDocument/2006/relationships/externalLink" Target="externalLinks/externalLink468.xml"/><Relationship Id="rId506" Type="http://schemas.openxmlformats.org/officeDocument/2006/relationships/externalLink" Target="externalLinks/externalLink503.xml"/><Relationship Id="rId17" Type="http://schemas.openxmlformats.org/officeDocument/2006/relationships/externalLink" Target="externalLinks/externalLink14.xml"/><Relationship Id="rId38" Type="http://schemas.openxmlformats.org/officeDocument/2006/relationships/externalLink" Target="externalLinks/externalLink35.xml"/><Relationship Id="rId59" Type="http://schemas.openxmlformats.org/officeDocument/2006/relationships/externalLink" Target="externalLinks/externalLink56.xml"/><Relationship Id="rId103" Type="http://schemas.openxmlformats.org/officeDocument/2006/relationships/externalLink" Target="externalLinks/externalLink100.xml"/><Relationship Id="rId124" Type="http://schemas.openxmlformats.org/officeDocument/2006/relationships/externalLink" Target="externalLinks/externalLink121.xml"/><Relationship Id="rId310" Type="http://schemas.openxmlformats.org/officeDocument/2006/relationships/externalLink" Target="externalLinks/externalLink307.xml"/><Relationship Id="rId492" Type="http://schemas.openxmlformats.org/officeDocument/2006/relationships/externalLink" Target="externalLinks/externalLink489.xml"/><Relationship Id="rId527" Type="http://schemas.openxmlformats.org/officeDocument/2006/relationships/externalLink" Target="externalLinks/externalLink524.xml"/><Relationship Id="rId70" Type="http://schemas.openxmlformats.org/officeDocument/2006/relationships/externalLink" Target="externalLinks/externalLink67.xml"/><Relationship Id="rId91" Type="http://schemas.openxmlformats.org/officeDocument/2006/relationships/externalLink" Target="externalLinks/externalLink88.xml"/><Relationship Id="rId145" Type="http://schemas.openxmlformats.org/officeDocument/2006/relationships/externalLink" Target="externalLinks/externalLink142.xml"/><Relationship Id="rId166" Type="http://schemas.openxmlformats.org/officeDocument/2006/relationships/externalLink" Target="externalLinks/externalLink163.xml"/><Relationship Id="rId187" Type="http://schemas.openxmlformats.org/officeDocument/2006/relationships/externalLink" Target="externalLinks/externalLink184.xml"/><Relationship Id="rId331" Type="http://schemas.openxmlformats.org/officeDocument/2006/relationships/externalLink" Target="externalLinks/externalLink328.xml"/><Relationship Id="rId352" Type="http://schemas.openxmlformats.org/officeDocument/2006/relationships/externalLink" Target="externalLinks/externalLink349.xml"/><Relationship Id="rId373" Type="http://schemas.openxmlformats.org/officeDocument/2006/relationships/externalLink" Target="externalLinks/externalLink370.xml"/><Relationship Id="rId394" Type="http://schemas.openxmlformats.org/officeDocument/2006/relationships/externalLink" Target="externalLinks/externalLink391.xml"/><Relationship Id="rId408" Type="http://schemas.openxmlformats.org/officeDocument/2006/relationships/externalLink" Target="externalLinks/externalLink405.xml"/><Relationship Id="rId429" Type="http://schemas.openxmlformats.org/officeDocument/2006/relationships/externalLink" Target="externalLinks/externalLink426.xml"/><Relationship Id="rId1" Type="http://schemas.openxmlformats.org/officeDocument/2006/relationships/worksheet" Target="worksheets/sheet1.xml"/><Relationship Id="rId212" Type="http://schemas.openxmlformats.org/officeDocument/2006/relationships/externalLink" Target="externalLinks/externalLink209.xml"/><Relationship Id="rId233" Type="http://schemas.openxmlformats.org/officeDocument/2006/relationships/externalLink" Target="externalLinks/externalLink230.xml"/><Relationship Id="rId254" Type="http://schemas.openxmlformats.org/officeDocument/2006/relationships/externalLink" Target="externalLinks/externalLink251.xml"/><Relationship Id="rId440" Type="http://schemas.openxmlformats.org/officeDocument/2006/relationships/externalLink" Target="externalLinks/externalLink437.xml"/><Relationship Id="rId28" Type="http://schemas.openxmlformats.org/officeDocument/2006/relationships/externalLink" Target="externalLinks/externalLink25.xml"/><Relationship Id="rId49" Type="http://schemas.openxmlformats.org/officeDocument/2006/relationships/externalLink" Target="externalLinks/externalLink46.xml"/><Relationship Id="rId114" Type="http://schemas.openxmlformats.org/officeDocument/2006/relationships/externalLink" Target="externalLinks/externalLink111.xml"/><Relationship Id="rId275" Type="http://schemas.openxmlformats.org/officeDocument/2006/relationships/externalLink" Target="externalLinks/externalLink272.xml"/><Relationship Id="rId296" Type="http://schemas.openxmlformats.org/officeDocument/2006/relationships/externalLink" Target="externalLinks/externalLink293.xml"/><Relationship Id="rId300" Type="http://schemas.openxmlformats.org/officeDocument/2006/relationships/externalLink" Target="externalLinks/externalLink297.xml"/><Relationship Id="rId461" Type="http://schemas.openxmlformats.org/officeDocument/2006/relationships/externalLink" Target="externalLinks/externalLink458.xml"/><Relationship Id="rId482" Type="http://schemas.openxmlformats.org/officeDocument/2006/relationships/externalLink" Target="externalLinks/externalLink479.xml"/><Relationship Id="rId517" Type="http://schemas.openxmlformats.org/officeDocument/2006/relationships/externalLink" Target="externalLinks/externalLink514.xml"/><Relationship Id="rId538" Type="http://schemas.openxmlformats.org/officeDocument/2006/relationships/sharedStrings" Target="sharedStrings.xml"/><Relationship Id="rId60" Type="http://schemas.openxmlformats.org/officeDocument/2006/relationships/externalLink" Target="externalLinks/externalLink57.xml"/><Relationship Id="rId81" Type="http://schemas.openxmlformats.org/officeDocument/2006/relationships/externalLink" Target="externalLinks/externalLink78.xml"/><Relationship Id="rId135" Type="http://schemas.openxmlformats.org/officeDocument/2006/relationships/externalLink" Target="externalLinks/externalLink132.xml"/><Relationship Id="rId156" Type="http://schemas.openxmlformats.org/officeDocument/2006/relationships/externalLink" Target="externalLinks/externalLink153.xml"/><Relationship Id="rId177" Type="http://schemas.openxmlformats.org/officeDocument/2006/relationships/externalLink" Target="externalLinks/externalLink174.xml"/><Relationship Id="rId198" Type="http://schemas.openxmlformats.org/officeDocument/2006/relationships/externalLink" Target="externalLinks/externalLink195.xml"/><Relationship Id="rId321" Type="http://schemas.openxmlformats.org/officeDocument/2006/relationships/externalLink" Target="externalLinks/externalLink318.xml"/><Relationship Id="rId342" Type="http://schemas.openxmlformats.org/officeDocument/2006/relationships/externalLink" Target="externalLinks/externalLink339.xml"/><Relationship Id="rId363" Type="http://schemas.openxmlformats.org/officeDocument/2006/relationships/externalLink" Target="externalLinks/externalLink360.xml"/><Relationship Id="rId384" Type="http://schemas.openxmlformats.org/officeDocument/2006/relationships/externalLink" Target="externalLinks/externalLink381.xml"/><Relationship Id="rId419" Type="http://schemas.openxmlformats.org/officeDocument/2006/relationships/externalLink" Target="externalLinks/externalLink416.xml"/><Relationship Id="rId202" Type="http://schemas.openxmlformats.org/officeDocument/2006/relationships/externalLink" Target="externalLinks/externalLink199.xml"/><Relationship Id="rId223" Type="http://schemas.openxmlformats.org/officeDocument/2006/relationships/externalLink" Target="externalLinks/externalLink220.xml"/><Relationship Id="rId244" Type="http://schemas.openxmlformats.org/officeDocument/2006/relationships/externalLink" Target="externalLinks/externalLink241.xml"/><Relationship Id="rId430" Type="http://schemas.openxmlformats.org/officeDocument/2006/relationships/externalLink" Target="externalLinks/externalLink427.xml"/><Relationship Id="rId18" Type="http://schemas.openxmlformats.org/officeDocument/2006/relationships/externalLink" Target="externalLinks/externalLink15.xml"/><Relationship Id="rId39" Type="http://schemas.openxmlformats.org/officeDocument/2006/relationships/externalLink" Target="externalLinks/externalLink36.xml"/><Relationship Id="rId265" Type="http://schemas.openxmlformats.org/officeDocument/2006/relationships/externalLink" Target="externalLinks/externalLink262.xml"/><Relationship Id="rId286" Type="http://schemas.openxmlformats.org/officeDocument/2006/relationships/externalLink" Target="externalLinks/externalLink283.xml"/><Relationship Id="rId451" Type="http://schemas.openxmlformats.org/officeDocument/2006/relationships/externalLink" Target="externalLinks/externalLink448.xml"/><Relationship Id="rId472" Type="http://schemas.openxmlformats.org/officeDocument/2006/relationships/externalLink" Target="externalLinks/externalLink469.xml"/><Relationship Id="rId493" Type="http://schemas.openxmlformats.org/officeDocument/2006/relationships/externalLink" Target="externalLinks/externalLink490.xml"/><Relationship Id="rId507" Type="http://schemas.openxmlformats.org/officeDocument/2006/relationships/externalLink" Target="externalLinks/externalLink504.xml"/><Relationship Id="rId528" Type="http://schemas.openxmlformats.org/officeDocument/2006/relationships/externalLink" Target="externalLinks/externalLink525.xml"/><Relationship Id="rId50" Type="http://schemas.openxmlformats.org/officeDocument/2006/relationships/externalLink" Target="externalLinks/externalLink47.xml"/><Relationship Id="rId104" Type="http://schemas.openxmlformats.org/officeDocument/2006/relationships/externalLink" Target="externalLinks/externalLink101.xml"/><Relationship Id="rId125" Type="http://schemas.openxmlformats.org/officeDocument/2006/relationships/externalLink" Target="externalLinks/externalLink122.xml"/><Relationship Id="rId146" Type="http://schemas.openxmlformats.org/officeDocument/2006/relationships/externalLink" Target="externalLinks/externalLink143.xml"/><Relationship Id="rId167" Type="http://schemas.openxmlformats.org/officeDocument/2006/relationships/externalLink" Target="externalLinks/externalLink164.xml"/><Relationship Id="rId188" Type="http://schemas.openxmlformats.org/officeDocument/2006/relationships/externalLink" Target="externalLinks/externalLink185.xml"/><Relationship Id="rId311" Type="http://schemas.openxmlformats.org/officeDocument/2006/relationships/externalLink" Target="externalLinks/externalLink308.xml"/><Relationship Id="rId332" Type="http://schemas.openxmlformats.org/officeDocument/2006/relationships/externalLink" Target="externalLinks/externalLink329.xml"/><Relationship Id="rId353" Type="http://schemas.openxmlformats.org/officeDocument/2006/relationships/externalLink" Target="externalLinks/externalLink350.xml"/><Relationship Id="rId374" Type="http://schemas.openxmlformats.org/officeDocument/2006/relationships/externalLink" Target="externalLinks/externalLink371.xml"/><Relationship Id="rId395" Type="http://schemas.openxmlformats.org/officeDocument/2006/relationships/externalLink" Target="externalLinks/externalLink392.xml"/><Relationship Id="rId409" Type="http://schemas.openxmlformats.org/officeDocument/2006/relationships/externalLink" Target="externalLinks/externalLink406.xml"/><Relationship Id="rId71" Type="http://schemas.openxmlformats.org/officeDocument/2006/relationships/externalLink" Target="externalLinks/externalLink68.xml"/><Relationship Id="rId92" Type="http://schemas.openxmlformats.org/officeDocument/2006/relationships/externalLink" Target="externalLinks/externalLink89.xml"/><Relationship Id="rId213" Type="http://schemas.openxmlformats.org/officeDocument/2006/relationships/externalLink" Target="externalLinks/externalLink210.xml"/><Relationship Id="rId234" Type="http://schemas.openxmlformats.org/officeDocument/2006/relationships/externalLink" Target="externalLinks/externalLink231.xml"/><Relationship Id="rId420" Type="http://schemas.openxmlformats.org/officeDocument/2006/relationships/externalLink" Target="externalLinks/externalLink417.xml"/><Relationship Id="rId2" Type="http://schemas.openxmlformats.org/officeDocument/2006/relationships/worksheet" Target="worksheets/sheet2.xml"/><Relationship Id="rId29" Type="http://schemas.openxmlformats.org/officeDocument/2006/relationships/externalLink" Target="externalLinks/externalLink26.xml"/><Relationship Id="rId255" Type="http://schemas.openxmlformats.org/officeDocument/2006/relationships/externalLink" Target="externalLinks/externalLink252.xml"/><Relationship Id="rId276" Type="http://schemas.openxmlformats.org/officeDocument/2006/relationships/externalLink" Target="externalLinks/externalLink273.xml"/><Relationship Id="rId297" Type="http://schemas.openxmlformats.org/officeDocument/2006/relationships/externalLink" Target="externalLinks/externalLink294.xml"/><Relationship Id="rId441" Type="http://schemas.openxmlformats.org/officeDocument/2006/relationships/externalLink" Target="externalLinks/externalLink438.xml"/><Relationship Id="rId462" Type="http://schemas.openxmlformats.org/officeDocument/2006/relationships/externalLink" Target="externalLinks/externalLink459.xml"/><Relationship Id="rId483" Type="http://schemas.openxmlformats.org/officeDocument/2006/relationships/externalLink" Target="externalLinks/externalLink480.xml"/><Relationship Id="rId518" Type="http://schemas.openxmlformats.org/officeDocument/2006/relationships/externalLink" Target="externalLinks/externalLink515.xml"/><Relationship Id="rId539" Type="http://schemas.openxmlformats.org/officeDocument/2006/relationships/calcChain" Target="calcChain.xml"/><Relationship Id="rId40" Type="http://schemas.openxmlformats.org/officeDocument/2006/relationships/externalLink" Target="externalLinks/externalLink37.xml"/><Relationship Id="rId115" Type="http://schemas.openxmlformats.org/officeDocument/2006/relationships/externalLink" Target="externalLinks/externalLink112.xml"/><Relationship Id="rId136" Type="http://schemas.openxmlformats.org/officeDocument/2006/relationships/externalLink" Target="externalLinks/externalLink133.xml"/><Relationship Id="rId157" Type="http://schemas.openxmlformats.org/officeDocument/2006/relationships/externalLink" Target="externalLinks/externalLink154.xml"/><Relationship Id="rId178" Type="http://schemas.openxmlformats.org/officeDocument/2006/relationships/externalLink" Target="externalLinks/externalLink175.xml"/><Relationship Id="rId301" Type="http://schemas.openxmlformats.org/officeDocument/2006/relationships/externalLink" Target="externalLinks/externalLink298.xml"/><Relationship Id="rId322" Type="http://schemas.openxmlformats.org/officeDocument/2006/relationships/externalLink" Target="externalLinks/externalLink319.xml"/><Relationship Id="rId343" Type="http://schemas.openxmlformats.org/officeDocument/2006/relationships/externalLink" Target="externalLinks/externalLink340.xml"/><Relationship Id="rId364" Type="http://schemas.openxmlformats.org/officeDocument/2006/relationships/externalLink" Target="externalLinks/externalLink361.xml"/><Relationship Id="rId61" Type="http://schemas.openxmlformats.org/officeDocument/2006/relationships/externalLink" Target="externalLinks/externalLink58.xml"/><Relationship Id="rId82" Type="http://schemas.openxmlformats.org/officeDocument/2006/relationships/externalLink" Target="externalLinks/externalLink79.xml"/><Relationship Id="rId199" Type="http://schemas.openxmlformats.org/officeDocument/2006/relationships/externalLink" Target="externalLinks/externalLink196.xml"/><Relationship Id="rId203" Type="http://schemas.openxmlformats.org/officeDocument/2006/relationships/externalLink" Target="externalLinks/externalLink200.xml"/><Relationship Id="rId385" Type="http://schemas.openxmlformats.org/officeDocument/2006/relationships/externalLink" Target="externalLinks/externalLink382.xml"/><Relationship Id="rId19" Type="http://schemas.openxmlformats.org/officeDocument/2006/relationships/externalLink" Target="externalLinks/externalLink16.xml"/><Relationship Id="rId224" Type="http://schemas.openxmlformats.org/officeDocument/2006/relationships/externalLink" Target="externalLinks/externalLink221.xml"/><Relationship Id="rId245" Type="http://schemas.openxmlformats.org/officeDocument/2006/relationships/externalLink" Target="externalLinks/externalLink242.xml"/><Relationship Id="rId266" Type="http://schemas.openxmlformats.org/officeDocument/2006/relationships/externalLink" Target="externalLinks/externalLink263.xml"/><Relationship Id="rId287" Type="http://schemas.openxmlformats.org/officeDocument/2006/relationships/externalLink" Target="externalLinks/externalLink284.xml"/><Relationship Id="rId410" Type="http://schemas.openxmlformats.org/officeDocument/2006/relationships/externalLink" Target="externalLinks/externalLink407.xml"/><Relationship Id="rId431" Type="http://schemas.openxmlformats.org/officeDocument/2006/relationships/externalLink" Target="externalLinks/externalLink428.xml"/><Relationship Id="rId452" Type="http://schemas.openxmlformats.org/officeDocument/2006/relationships/externalLink" Target="externalLinks/externalLink449.xml"/><Relationship Id="rId473" Type="http://schemas.openxmlformats.org/officeDocument/2006/relationships/externalLink" Target="externalLinks/externalLink470.xml"/><Relationship Id="rId494" Type="http://schemas.openxmlformats.org/officeDocument/2006/relationships/externalLink" Target="externalLinks/externalLink491.xml"/><Relationship Id="rId508" Type="http://schemas.openxmlformats.org/officeDocument/2006/relationships/externalLink" Target="externalLinks/externalLink505.xml"/><Relationship Id="rId529" Type="http://schemas.openxmlformats.org/officeDocument/2006/relationships/externalLink" Target="externalLinks/externalLink526.xml"/><Relationship Id="rId30" Type="http://schemas.openxmlformats.org/officeDocument/2006/relationships/externalLink" Target="externalLinks/externalLink27.xml"/><Relationship Id="rId105" Type="http://schemas.openxmlformats.org/officeDocument/2006/relationships/externalLink" Target="externalLinks/externalLink102.xml"/><Relationship Id="rId126" Type="http://schemas.openxmlformats.org/officeDocument/2006/relationships/externalLink" Target="externalLinks/externalLink123.xml"/><Relationship Id="rId147" Type="http://schemas.openxmlformats.org/officeDocument/2006/relationships/externalLink" Target="externalLinks/externalLink144.xml"/><Relationship Id="rId168" Type="http://schemas.openxmlformats.org/officeDocument/2006/relationships/externalLink" Target="externalLinks/externalLink165.xml"/><Relationship Id="rId312" Type="http://schemas.openxmlformats.org/officeDocument/2006/relationships/externalLink" Target="externalLinks/externalLink309.xml"/><Relationship Id="rId333" Type="http://schemas.openxmlformats.org/officeDocument/2006/relationships/externalLink" Target="externalLinks/externalLink330.xml"/><Relationship Id="rId354" Type="http://schemas.openxmlformats.org/officeDocument/2006/relationships/externalLink" Target="externalLinks/externalLink351.xml"/><Relationship Id="rId540" Type="http://schemas.microsoft.com/office/2006/relationships/vbaProject" Target="vbaProject.bin"/><Relationship Id="rId51" Type="http://schemas.openxmlformats.org/officeDocument/2006/relationships/externalLink" Target="externalLinks/externalLink48.xml"/><Relationship Id="rId72" Type="http://schemas.openxmlformats.org/officeDocument/2006/relationships/externalLink" Target="externalLinks/externalLink69.xml"/><Relationship Id="rId93" Type="http://schemas.openxmlformats.org/officeDocument/2006/relationships/externalLink" Target="externalLinks/externalLink90.xml"/><Relationship Id="rId189" Type="http://schemas.openxmlformats.org/officeDocument/2006/relationships/externalLink" Target="externalLinks/externalLink186.xml"/><Relationship Id="rId375" Type="http://schemas.openxmlformats.org/officeDocument/2006/relationships/externalLink" Target="externalLinks/externalLink372.xml"/><Relationship Id="rId396" Type="http://schemas.openxmlformats.org/officeDocument/2006/relationships/externalLink" Target="externalLinks/externalLink393.xml"/><Relationship Id="rId3" Type="http://schemas.openxmlformats.org/officeDocument/2006/relationships/worksheet" Target="worksheets/sheet3.xml"/><Relationship Id="rId214" Type="http://schemas.openxmlformats.org/officeDocument/2006/relationships/externalLink" Target="externalLinks/externalLink211.xml"/><Relationship Id="rId235" Type="http://schemas.openxmlformats.org/officeDocument/2006/relationships/externalLink" Target="externalLinks/externalLink232.xml"/><Relationship Id="rId256" Type="http://schemas.openxmlformats.org/officeDocument/2006/relationships/externalLink" Target="externalLinks/externalLink253.xml"/><Relationship Id="rId277" Type="http://schemas.openxmlformats.org/officeDocument/2006/relationships/externalLink" Target="externalLinks/externalLink274.xml"/><Relationship Id="rId298" Type="http://schemas.openxmlformats.org/officeDocument/2006/relationships/externalLink" Target="externalLinks/externalLink295.xml"/><Relationship Id="rId400" Type="http://schemas.openxmlformats.org/officeDocument/2006/relationships/externalLink" Target="externalLinks/externalLink397.xml"/><Relationship Id="rId421" Type="http://schemas.openxmlformats.org/officeDocument/2006/relationships/externalLink" Target="externalLinks/externalLink418.xml"/><Relationship Id="rId442" Type="http://schemas.openxmlformats.org/officeDocument/2006/relationships/externalLink" Target="externalLinks/externalLink439.xml"/><Relationship Id="rId463" Type="http://schemas.openxmlformats.org/officeDocument/2006/relationships/externalLink" Target="externalLinks/externalLink460.xml"/><Relationship Id="rId484" Type="http://schemas.openxmlformats.org/officeDocument/2006/relationships/externalLink" Target="externalLinks/externalLink481.xml"/><Relationship Id="rId519" Type="http://schemas.openxmlformats.org/officeDocument/2006/relationships/externalLink" Target="externalLinks/externalLink516.xml"/><Relationship Id="rId116" Type="http://schemas.openxmlformats.org/officeDocument/2006/relationships/externalLink" Target="externalLinks/externalLink113.xml"/><Relationship Id="rId137" Type="http://schemas.openxmlformats.org/officeDocument/2006/relationships/externalLink" Target="externalLinks/externalLink134.xml"/><Relationship Id="rId158" Type="http://schemas.openxmlformats.org/officeDocument/2006/relationships/externalLink" Target="externalLinks/externalLink155.xml"/><Relationship Id="rId302" Type="http://schemas.openxmlformats.org/officeDocument/2006/relationships/externalLink" Target="externalLinks/externalLink299.xml"/><Relationship Id="rId323" Type="http://schemas.openxmlformats.org/officeDocument/2006/relationships/externalLink" Target="externalLinks/externalLink320.xml"/><Relationship Id="rId344" Type="http://schemas.openxmlformats.org/officeDocument/2006/relationships/externalLink" Target="externalLinks/externalLink341.xml"/><Relationship Id="rId530" Type="http://schemas.openxmlformats.org/officeDocument/2006/relationships/externalLink" Target="externalLinks/externalLink527.xml"/><Relationship Id="rId20" Type="http://schemas.openxmlformats.org/officeDocument/2006/relationships/externalLink" Target="externalLinks/externalLink17.xml"/><Relationship Id="rId41" Type="http://schemas.openxmlformats.org/officeDocument/2006/relationships/externalLink" Target="externalLinks/externalLink38.xml"/><Relationship Id="rId62" Type="http://schemas.openxmlformats.org/officeDocument/2006/relationships/externalLink" Target="externalLinks/externalLink59.xml"/><Relationship Id="rId83" Type="http://schemas.openxmlformats.org/officeDocument/2006/relationships/externalLink" Target="externalLinks/externalLink80.xml"/><Relationship Id="rId179" Type="http://schemas.openxmlformats.org/officeDocument/2006/relationships/externalLink" Target="externalLinks/externalLink176.xml"/><Relationship Id="rId365" Type="http://schemas.openxmlformats.org/officeDocument/2006/relationships/externalLink" Target="externalLinks/externalLink362.xml"/><Relationship Id="rId386" Type="http://schemas.openxmlformats.org/officeDocument/2006/relationships/externalLink" Target="externalLinks/externalLink383.xml"/><Relationship Id="rId190" Type="http://schemas.openxmlformats.org/officeDocument/2006/relationships/externalLink" Target="externalLinks/externalLink187.xml"/><Relationship Id="rId204" Type="http://schemas.openxmlformats.org/officeDocument/2006/relationships/externalLink" Target="externalLinks/externalLink201.xml"/><Relationship Id="rId225" Type="http://schemas.openxmlformats.org/officeDocument/2006/relationships/externalLink" Target="externalLinks/externalLink222.xml"/><Relationship Id="rId246" Type="http://schemas.openxmlformats.org/officeDocument/2006/relationships/externalLink" Target="externalLinks/externalLink243.xml"/><Relationship Id="rId267" Type="http://schemas.openxmlformats.org/officeDocument/2006/relationships/externalLink" Target="externalLinks/externalLink264.xml"/><Relationship Id="rId288" Type="http://schemas.openxmlformats.org/officeDocument/2006/relationships/externalLink" Target="externalLinks/externalLink285.xml"/><Relationship Id="rId411" Type="http://schemas.openxmlformats.org/officeDocument/2006/relationships/externalLink" Target="externalLinks/externalLink408.xml"/><Relationship Id="rId432" Type="http://schemas.openxmlformats.org/officeDocument/2006/relationships/externalLink" Target="externalLinks/externalLink429.xml"/><Relationship Id="rId453" Type="http://schemas.openxmlformats.org/officeDocument/2006/relationships/externalLink" Target="externalLinks/externalLink450.xml"/><Relationship Id="rId474" Type="http://schemas.openxmlformats.org/officeDocument/2006/relationships/externalLink" Target="externalLinks/externalLink471.xml"/><Relationship Id="rId509" Type="http://schemas.openxmlformats.org/officeDocument/2006/relationships/externalLink" Target="externalLinks/externalLink506.xml"/><Relationship Id="rId106" Type="http://schemas.openxmlformats.org/officeDocument/2006/relationships/externalLink" Target="externalLinks/externalLink103.xml"/><Relationship Id="rId127" Type="http://schemas.openxmlformats.org/officeDocument/2006/relationships/externalLink" Target="externalLinks/externalLink124.xml"/><Relationship Id="rId313" Type="http://schemas.openxmlformats.org/officeDocument/2006/relationships/externalLink" Target="externalLinks/externalLink310.xml"/><Relationship Id="rId495" Type="http://schemas.openxmlformats.org/officeDocument/2006/relationships/externalLink" Target="externalLinks/externalLink492.xml"/><Relationship Id="rId10" Type="http://schemas.openxmlformats.org/officeDocument/2006/relationships/externalLink" Target="externalLinks/externalLink7.xml"/><Relationship Id="rId31" Type="http://schemas.openxmlformats.org/officeDocument/2006/relationships/externalLink" Target="externalLinks/externalLink28.xml"/><Relationship Id="rId52" Type="http://schemas.openxmlformats.org/officeDocument/2006/relationships/externalLink" Target="externalLinks/externalLink49.xml"/><Relationship Id="rId73" Type="http://schemas.openxmlformats.org/officeDocument/2006/relationships/externalLink" Target="externalLinks/externalLink70.xml"/><Relationship Id="rId94" Type="http://schemas.openxmlformats.org/officeDocument/2006/relationships/externalLink" Target="externalLinks/externalLink91.xml"/><Relationship Id="rId148" Type="http://schemas.openxmlformats.org/officeDocument/2006/relationships/externalLink" Target="externalLinks/externalLink145.xml"/><Relationship Id="rId169" Type="http://schemas.openxmlformats.org/officeDocument/2006/relationships/externalLink" Target="externalLinks/externalLink166.xml"/><Relationship Id="rId334" Type="http://schemas.openxmlformats.org/officeDocument/2006/relationships/externalLink" Target="externalLinks/externalLink331.xml"/><Relationship Id="rId355" Type="http://schemas.openxmlformats.org/officeDocument/2006/relationships/externalLink" Target="externalLinks/externalLink352.xml"/><Relationship Id="rId376" Type="http://schemas.openxmlformats.org/officeDocument/2006/relationships/externalLink" Target="externalLinks/externalLink373.xml"/><Relationship Id="rId397" Type="http://schemas.openxmlformats.org/officeDocument/2006/relationships/externalLink" Target="externalLinks/externalLink394.xml"/><Relationship Id="rId520" Type="http://schemas.openxmlformats.org/officeDocument/2006/relationships/externalLink" Target="externalLinks/externalLink517.xml"/><Relationship Id="rId4" Type="http://schemas.openxmlformats.org/officeDocument/2006/relationships/externalLink" Target="externalLinks/externalLink1.xml"/><Relationship Id="rId180" Type="http://schemas.openxmlformats.org/officeDocument/2006/relationships/externalLink" Target="externalLinks/externalLink177.xml"/><Relationship Id="rId215" Type="http://schemas.openxmlformats.org/officeDocument/2006/relationships/externalLink" Target="externalLinks/externalLink212.xml"/><Relationship Id="rId236" Type="http://schemas.openxmlformats.org/officeDocument/2006/relationships/externalLink" Target="externalLinks/externalLink233.xml"/><Relationship Id="rId257" Type="http://schemas.openxmlformats.org/officeDocument/2006/relationships/externalLink" Target="externalLinks/externalLink254.xml"/><Relationship Id="rId278" Type="http://schemas.openxmlformats.org/officeDocument/2006/relationships/externalLink" Target="externalLinks/externalLink275.xml"/><Relationship Id="rId401" Type="http://schemas.openxmlformats.org/officeDocument/2006/relationships/externalLink" Target="externalLinks/externalLink398.xml"/><Relationship Id="rId422" Type="http://schemas.openxmlformats.org/officeDocument/2006/relationships/externalLink" Target="externalLinks/externalLink419.xml"/><Relationship Id="rId443" Type="http://schemas.openxmlformats.org/officeDocument/2006/relationships/externalLink" Target="externalLinks/externalLink440.xml"/><Relationship Id="rId464" Type="http://schemas.openxmlformats.org/officeDocument/2006/relationships/externalLink" Target="externalLinks/externalLink461.xml"/><Relationship Id="rId303" Type="http://schemas.openxmlformats.org/officeDocument/2006/relationships/externalLink" Target="externalLinks/externalLink300.xml"/><Relationship Id="rId485" Type="http://schemas.openxmlformats.org/officeDocument/2006/relationships/externalLink" Target="externalLinks/externalLink482.xml"/><Relationship Id="rId42" Type="http://schemas.openxmlformats.org/officeDocument/2006/relationships/externalLink" Target="externalLinks/externalLink39.xml"/><Relationship Id="rId84" Type="http://schemas.openxmlformats.org/officeDocument/2006/relationships/externalLink" Target="externalLinks/externalLink81.xml"/><Relationship Id="rId138" Type="http://schemas.openxmlformats.org/officeDocument/2006/relationships/externalLink" Target="externalLinks/externalLink135.xml"/><Relationship Id="rId345" Type="http://schemas.openxmlformats.org/officeDocument/2006/relationships/externalLink" Target="externalLinks/externalLink342.xml"/><Relationship Id="rId387" Type="http://schemas.openxmlformats.org/officeDocument/2006/relationships/externalLink" Target="externalLinks/externalLink384.xml"/><Relationship Id="rId510" Type="http://schemas.openxmlformats.org/officeDocument/2006/relationships/externalLink" Target="externalLinks/externalLink507.xml"/><Relationship Id="rId191" Type="http://schemas.openxmlformats.org/officeDocument/2006/relationships/externalLink" Target="externalLinks/externalLink188.xml"/><Relationship Id="rId205" Type="http://schemas.openxmlformats.org/officeDocument/2006/relationships/externalLink" Target="externalLinks/externalLink202.xml"/><Relationship Id="rId247" Type="http://schemas.openxmlformats.org/officeDocument/2006/relationships/externalLink" Target="externalLinks/externalLink244.xml"/><Relationship Id="rId412" Type="http://schemas.openxmlformats.org/officeDocument/2006/relationships/externalLink" Target="externalLinks/externalLink409.xml"/><Relationship Id="rId107" Type="http://schemas.openxmlformats.org/officeDocument/2006/relationships/externalLink" Target="externalLinks/externalLink104.xml"/><Relationship Id="rId289" Type="http://schemas.openxmlformats.org/officeDocument/2006/relationships/externalLink" Target="externalLinks/externalLink286.xml"/><Relationship Id="rId454" Type="http://schemas.openxmlformats.org/officeDocument/2006/relationships/externalLink" Target="externalLinks/externalLink451.xml"/><Relationship Id="rId496" Type="http://schemas.openxmlformats.org/officeDocument/2006/relationships/externalLink" Target="externalLinks/externalLink493.xml"/><Relationship Id="rId11" Type="http://schemas.openxmlformats.org/officeDocument/2006/relationships/externalLink" Target="externalLinks/externalLink8.xml"/><Relationship Id="rId53" Type="http://schemas.openxmlformats.org/officeDocument/2006/relationships/externalLink" Target="externalLinks/externalLink50.xml"/><Relationship Id="rId149" Type="http://schemas.openxmlformats.org/officeDocument/2006/relationships/externalLink" Target="externalLinks/externalLink146.xml"/><Relationship Id="rId314" Type="http://schemas.openxmlformats.org/officeDocument/2006/relationships/externalLink" Target="externalLinks/externalLink311.xml"/><Relationship Id="rId356" Type="http://schemas.openxmlformats.org/officeDocument/2006/relationships/externalLink" Target="externalLinks/externalLink353.xml"/><Relationship Id="rId398" Type="http://schemas.openxmlformats.org/officeDocument/2006/relationships/externalLink" Target="externalLinks/externalLink395.xml"/><Relationship Id="rId521" Type="http://schemas.openxmlformats.org/officeDocument/2006/relationships/externalLink" Target="externalLinks/externalLink518.xml"/><Relationship Id="rId95" Type="http://schemas.openxmlformats.org/officeDocument/2006/relationships/externalLink" Target="externalLinks/externalLink92.xml"/><Relationship Id="rId160" Type="http://schemas.openxmlformats.org/officeDocument/2006/relationships/externalLink" Target="externalLinks/externalLink157.xml"/><Relationship Id="rId216" Type="http://schemas.openxmlformats.org/officeDocument/2006/relationships/externalLink" Target="externalLinks/externalLink213.xml"/><Relationship Id="rId423" Type="http://schemas.openxmlformats.org/officeDocument/2006/relationships/externalLink" Target="externalLinks/externalLink420.xml"/><Relationship Id="rId258" Type="http://schemas.openxmlformats.org/officeDocument/2006/relationships/externalLink" Target="externalLinks/externalLink255.xml"/><Relationship Id="rId465" Type="http://schemas.openxmlformats.org/officeDocument/2006/relationships/externalLink" Target="externalLinks/externalLink462.xml"/><Relationship Id="rId22" Type="http://schemas.openxmlformats.org/officeDocument/2006/relationships/externalLink" Target="externalLinks/externalLink19.xml"/><Relationship Id="rId64" Type="http://schemas.openxmlformats.org/officeDocument/2006/relationships/externalLink" Target="externalLinks/externalLink61.xml"/><Relationship Id="rId118" Type="http://schemas.openxmlformats.org/officeDocument/2006/relationships/externalLink" Target="externalLinks/externalLink115.xml"/><Relationship Id="rId325" Type="http://schemas.openxmlformats.org/officeDocument/2006/relationships/externalLink" Target="externalLinks/externalLink322.xml"/><Relationship Id="rId367" Type="http://schemas.openxmlformats.org/officeDocument/2006/relationships/externalLink" Target="externalLinks/externalLink364.xml"/><Relationship Id="rId532" Type="http://schemas.openxmlformats.org/officeDocument/2006/relationships/externalLink" Target="externalLinks/externalLink529.xml"/><Relationship Id="rId171" Type="http://schemas.openxmlformats.org/officeDocument/2006/relationships/externalLink" Target="externalLinks/externalLink168.xml"/><Relationship Id="rId227" Type="http://schemas.openxmlformats.org/officeDocument/2006/relationships/externalLink" Target="externalLinks/externalLink224.xml"/><Relationship Id="rId269" Type="http://schemas.openxmlformats.org/officeDocument/2006/relationships/externalLink" Target="externalLinks/externalLink266.xml"/><Relationship Id="rId434" Type="http://schemas.openxmlformats.org/officeDocument/2006/relationships/externalLink" Target="externalLinks/externalLink431.xml"/><Relationship Id="rId476" Type="http://schemas.openxmlformats.org/officeDocument/2006/relationships/externalLink" Target="externalLinks/externalLink473.xml"/><Relationship Id="rId33" Type="http://schemas.openxmlformats.org/officeDocument/2006/relationships/externalLink" Target="externalLinks/externalLink30.xml"/><Relationship Id="rId129" Type="http://schemas.openxmlformats.org/officeDocument/2006/relationships/externalLink" Target="externalLinks/externalLink126.xml"/><Relationship Id="rId280" Type="http://schemas.openxmlformats.org/officeDocument/2006/relationships/externalLink" Target="externalLinks/externalLink277.xml"/><Relationship Id="rId336" Type="http://schemas.openxmlformats.org/officeDocument/2006/relationships/externalLink" Target="externalLinks/externalLink333.xml"/><Relationship Id="rId501" Type="http://schemas.openxmlformats.org/officeDocument/2006/relationships/externalLink" Target="externalLinks/externalLink498.xml"/><Relationship Id="rId75" Type="http://schemas.openxmlformats.org/officeDocument/2006/relationships/externalLink" Target="externalLinks/externalLink72.xml"/><Relationship Id="rId140" Type="http://schemas.openxmlformats.org/officeDocument/2006/relationships/externalLink" Target="externalLinks/externalLink137.xml"/><Relationship Id="rId182" Type="http://schemas.openxmlformats.org/officeDocument/2006/relationships/externalLink" Target="externalLinks/externalLink179.xml"/><Relationship Id="rId378" Type="http://schemas.openxmlformats.org/officeDocument/2006/relationships/externalLink" Target="externalLinks/externalLink375.xml"/><Relationship Id="rId403" Type="http://schemas.openxmlformats.org/officeDocument/2006/relationships/externalLink" Target="externalLinks/externalLink400.xml"/><Relationship Id="rId6" Type="http://schemas.openxmlformats.org/officeDocument/2006/relationships/externalLink" Target="externalLinks/externalLink3.xml"/><Relationship Id="rId238" Type="http://schemas.openxmlformats.org/officeDocument/2006/relationships/externalLink" Target="externalLinks/externalLink235.xml"/><Relationship Id="rId445" Type="http://schemas.openxmlformats.org/officeDocument/2006/relationships/externalLink" Target="externalLinks/externalLink442.xml"/><Relationship Id="rId487" Type="http://schemas.openxmlformats.org/officeDocument/2006/relationships/externalLink" Target="externalLinks/externalLink484.xml"/><Relationship Id="rId291" Type="http://schemas.openxmlformats.org/officeDocument/2006/relationships/externalLink" Target="externalLinks/externalLink288.xml"/><Relationship Id="rId305" Type="http://schemas.openxmlformats.org/officeDocument/2006/relationships/externalLink" Target="externalLinks/externalLink302.xml"/><Relationship Id="rId347" Type="http://schemas.openxmlformats.org/officeDocument/2006/relationships/externalLink" Target="externalLinks/externalLink344.xml"/><Relationship Id="rId512" Type="http://schemas.openxmlformats.org/officeDocument/2006/relationships/externalLink" Target="externalLinks/externalLink509.xml"/><Relationship Id="rId44" Type="http://schemas.openxmlformats.org/officeDocument/2006/relationships/externalLink" Target="externalLinks/externalLink41.xml"/><Relationship Id="rId86" Type="http://schemas.openxmlformats.org/officeDocument/2006/relationships/externalLink" Target="externalLinks/externalLink83.xml"/><Relationship Id="rId151" Type="http://schemas.openxmlformats.org/officeDocument/2006/relationships/externalLink" Target="externalLinks/externalLink148.xml"/><Relationship Id="rId389" Type="http://schemas.openxmlformats.org/officeDocument/2006/relationships/externalLink" Target="externalLinks/externalLink386.xml"/><Relationship Id="rId193" Type="http://schemas.openxmlformats.org/officeDocument/2006/relationships/externalLink" Target="externalLinks/externalLink190.xml"/><Relationship Id="rId207" Type="http://schemas.openxmlformats.org/officeDocument/2006/relationships/externalLink" Target="externalLinks/externalLink204.xml"/><Relationship Id="rId249" Type="http://schemas.openxmlformats.org/officeDocument/2006/relationships/externalLink" Target="externalLinks/externalLink246.xml"/><Relationship Id="rId414" Type="http://schemas.openxmlformats.org/officeDocument/2006/relationships/externalLink" Target="externalLinks/externalLink411.xml"/><Relationship Id="rId456" Type="http://schemas.openxmlformats.org/officeDocument/2006/relationships/externalLink" Target="externalLinks/externalLink453.xml"/><Relationship Id="rId498" Type="http://schemas.openxmlformats.org/officeDocument/2006/relationships/externalLink" Target="externalLinks/externalLink495.xml"/><Relationship Id="rId13" Type="http://schemas.openxmlformats.org/officeDocument/2006/relationships/externalLink" Target="externalLinks/externalLink10.xml"/><Relationship Id="rId109" Type="http://schemas.openxmlformats.org/officeDocument/2006/relationships/externalLink" Target="externalLinks/externalLink106.xml"/><Relationship Id="rId260" Type="http://schemas.openxmlformats.org/officeDocument/2006/relationships/externalLink" Target="externalLinks/externalLink257.xml"/><Relationship Id="rId316" Type="http://schemas.openxmlformats.org/officeDocument/2006/relationships/externalLink" Target="externalLinks/externalLink313.xml"/><Relationship Id="rId523" Type="http://schemas.openxmlformats.org/officeDocument/2006/relationships/externalLink" Target="externalLinks/externalLink520.xml"/><Relationship Id="rId55" Type="http://schemas.openxmlformats.org/officeDocument/2006/relationships/externalLink" Target="externalLinks/externalLink52.xml"/><Relationship Id="rId97" Type="http://schemas.openxmlformats.org/officeDocument/2006/relationships/externalLink" Target="externalLinks/externalLink94.xml"/><Relationship Id="rId120" Type="http://schemas.openxmlformats.org/officeDocument/2006/relationships/externalLink" Target="externalLinks/externalLink117.xml"/><Relationship Id="rId358" Type="http://schemas.openxmlformats.org/officeDocument/2006/relationships/externalLink" Target="externalLinks/externalLink355.xml"/><Relationship Id="rId162" Type="http://schemas.openxmlformats.org/officeDocument/2006/relationships/externalLink" Target="externalLinks/externalLink159.xml"/><Relationship Id="rId218" Type="http://schemas.openxmlformats.org/officeDocument/2006/relationships/externalLink" Target="externalLinks/externalLink215.xml"/><Relationship Id="rId425" Type="http://schemas.openxmlformats.org/officeDocument/2006/relationships/externalLink" Target="externalLinks/externalLink422.xml"/><Relationship Id="rId467" Type="http://schemas.openxmlformats.org/officeDocument/2006/relationships/externalLink" Target="externalLinks/externalLink464.xml"/><Relationship Id="rId271" Type="http://schemas.openxmlformats.org/officeDocument/2006/relationships/externalLink" Target="externalLinks/externalLink268.xml"/><Relationship Id="rId24" Type="http://schemas.openxmlformats.org/officeDocument/2006/relationships/externalLink" Target="externalLinks/externalLink21.xml"/><Relationship Id="rId66" Type="http://schemas.openxmlformats.org/officeDocument/2006/relationships/externalLink" Target="externalLinks/externalLink63.xml"/><Relationship Id="rId131" Type="http://schemas.openxmlformats.org/officeDocument/2006/relationships/externalLink" Target="externalLinks/externalLink128.xml"/><Relationship Id="rId327" Type="http://schemas.openxmlformats.org/officeDocument/2006/relationships/externalLink" Target="externalLinks/externalLink324.xml"/><Relationship Id="rId369" Type="http://schemas.openxmlformats.org/officeDocument/2006/relationships/externalLink" Target="externalLinks/externalLink366.xml"/><Relationship Id="rId534" Type="http://schemas.openxmlformats.org/officeDocument/2006/relationships/externalLink" Target="externalLinks/externalLink531.xml"/><Relationship Id="rId173" Type="http://schemas.openxmlformats.org/officeDocument/2006/relationships/externalLink" Target="externalLinks/externalLink170.xml"/><Relationship Id="rId229" Type="http://schemas.openxmlformats.org/officeDocument/2006/relationships/externalLink" Target="externalLinks/externalLink226.xml"/><Relationship Id="rId380" Type="http://schemas.openxmlformats.org/officeDocument/2006/relationships/externalLink" Target="externalLinks/externalLink377.xml"/><Relationship Id="rId436" Type="http://schemas.openxmlformats.org/officeDocument/2006/relationships/externalLink" Target="externalLinks/externalLink433.xml"/><Relationship Id="rId240" Type="http://schemas.openxmlformats.org/officeDocument/2006/relationships/externalLink" Target="externalLinks/externalLink237.xml"/><Relationship Id="rId478" Type="http://schemas.openxmlformats.org/officeDocument/2006/relationships/externalLink" Target="externalLinks/externalLink475.xml"/><Relationship Id="rId35" Type="http://schemas.openxmlformats.org/officeDocument/2006/relationships/externalLink" Target="externalLinks/externalLink32.xml"/><Relationship Id="rId77" Type="http://schemas.openxmlformats.org/officeDocument/2006/relationships/externalLink" Target="externalLinks/externalLink74.xml"/><Relationship Id="rId100" Type="http://schemas.openxmlformats.org/officeDocument/2006/relationships/externalLink" Target="externalLinks/externalLink97.xml"/><Relationship Id="rId282" Type="http://schemas.openxmlformats.org/officeDocument/2006/relationships/externalLink" Target="externalLinks/externalLink279.xml"/><Relationship Id="rId338" Type="http://schemas.openxmlformats.org/officeDocument/2006/relationships/externalLink" Target="externalLinks/externalLink335.xml"/><Relationship Id="rId503" Type="http://schemas.openxmlformats.org/officeDocument/2006/relationships/externalLink" Target="externalLinks/externalLink500.xml"/><Relationship Id="rId8" Type="http://schemas.openxmlformats.org/officeDocument/2006/relationships/externalLink" Target="externalLinks/externalLink5.xml"/><Relationship Id="rId142" Type="http://schemas.openxmlformats.org/officeDocument/2006/relationships/externalLink" Target="externalLinks/externalLink139.xml"/><Relationship Id="rId184" Type="http://schemas.openxmlformats.org/officeDocument/2006/relationships/externalLink" Target="externalLinks/externalLink181.xml"/><Relationship Id="rId391" Type="http://schemas.openxmlformats.org/officeDocument/2006/relationships/externalLink" Target="externalLinks/externalLink388.xml"/><Relationship Id="rId405" Type="http://schemas.openxmlformats.org/officeDocument/2006/relationships/externalLink" Target="externalLinks/externalLink402.xml"/><Relationship Id="rId447" Type="http://schemas.openxmlformats.org/officeDocument/2006/relationships/externalLink" Target="externalLinks/externalLink444.xml"/><Relationship Id="rId251" Type="http://schemas.openxmlformats.org/officeDocument/2006/relationships/externalLink" Target="externalLinks/externalLink248.xml"/><Relationship Id="rId489" Type="http://schemas.openxmlformats.org/officeDocument/2006/relationships/externalLink" Target="externalLinks/externalLink48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FichaVacia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0-00000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06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13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19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0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4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5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29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39B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39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62F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062G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02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3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4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6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7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29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5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1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68B.xlsx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6.xlsx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7.xlsx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78.xlsx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87.xlsx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195.xlsx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201.xlsx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2218B.xlsx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7.xlsx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8.xlsx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19.xlsx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0.xlsx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1.xlsx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2.xlsx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26B.xlsx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1.xlsx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1C.xlsx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3053.xlsx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3.xlsx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6.xlsx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07.xlsx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10.xlsx" TargetMode="External"/></Relationships>
</file>

<file path=xl/externalLinks/_rels/externalLink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12.xlsx" TargetMode="External"/></Relationships>
</file>

<file path=xl/externalLinks/_rels/externalLink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-20.xlsx" TargetMode="External"/></Relationships>
</file>

<file path=xl/externalLinks/_rels/externalLink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-40.xlsx" TargetMode="External"/></Relationships>
</file>

<file path=xl/externalLinks/_rels/externalLink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4025.xlsx" TargetMode="External"/></Relationships>
</file>

<file path=xl/externalLinks/_rels/externalLink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5002.xlsx" TargetMode="External"/></Relationships>
</file>

<file path=xl/externalLinks/_rels/externalLink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02B.xlsx" TargetMode="External"/></Relationships>
</file>

<file path=xl/externalLinks/_rels/externalLink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56.xlsx" TargetMode="External"/></Relationships>
</file>

<file path=xl/externalLinks/_rels/externalLink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078.xlsx" TargetMode="External"/></Relationships>
</file>

<file path=xl/externalLinks/_rels/externalLink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06106.xlsx" TargetMode="External"/></Relationships>
</file>

<file path=xl/externalLinks/_rels/externalLink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165.xlsx" TargetMode="External"/></Relationships>
</file>

<file path=xl/externalLinks/_rels/externalLink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27B.xlsx" TargetMode="External"/></Relationships>
</file>

<file path=xl/externalLinks/_rels/externalLink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39F.xlsx" TargetMode="External"/></Relationships>
</file>

<file path=xl/externalLinks/_rels/externalLink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39G.xlsx" TargetMode="External"/></Relationships>
</file>

<file path=xl/externalLinks/_rels/externalLink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49.xlsx" TargetMode="External"/></Relationships>
</file>

<file path=xl/externalLinks/_rels/externalLink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24256CA.xlsx" TargetMode="External"/></Relationships>
</file>

<file path=xl/externalLinks/_rels/externalLink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06.xlsx" TargetMode="External"/></Relationships>
</file>

<file path=xl/externalLinks/_rels/externalLink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35.xlsx" TargetMode="External"/></Relationships>
</file>

<file path=xl/externalLinks/_rels/externalLink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060.xlsx" TargetMode="External"/></Relationships>
</file>

<file path=xl/externalLinks/_rels/externalLink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8-30175.xlsx" TargetMode="External"/></Relationships>
</file>

<file path=xl/externalLinks/_rels/externalLink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9-06003.xlsx" TargetMode="External"/></Relationships>
</file>

<file path=xl/externalLinks/_rels/externalLink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09-06087.xlsx" TargetMode="External"/></Relationships>
</file>

<file path=xl/externalLinks/_rels/externalLink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2059.xlsx" TargetMode="External"/></Relationships>
</file>

<file path=xl/externalLinks/_rels/externalLink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15.xlsx" TargetMode="External"/></Relationships>
</file>

<file path=xl/externalLinks/_rels/externalLink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23.xlsx" TargetMode="External"/></Relationships>
</file>

<file path=xl/externalLinks/_rels/externalLink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25.xlsx" TargetMode="External"/></Relationships>
</file>

<file path=xl/externalLinks/_rels/externalLink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39U.xlsx" TargetMode="External"/></Relationships>
</file>

<file path=xl/externalLinks/_rels/externalLink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41.xlsx" TargetMode="External"/></Relationships>
</file>

<file path=xl/externalLinks/_rels/externalLink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41X.xlsx" TargetMode="External"/></Relationships>
</file>

<file path=xl/externalLinks/_rels/externalLink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091.xlsx" TargetMode="External"/></Relationships>
</file>

<file path=xl/externalLinks/_rels/externalLink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121.xlsx" TargetMode="External"/></Relationships>
</file>

<file path=xl/externalLinks/_rels/externalLink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3130.xlsx" TargetMode="External"/></Relationships>
</file>

<file path=xl/externalLinks/_rels/externalLink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0-06067.xlsx" TargetMode="External"/></Relationships>
</file>

<file path=xl/externalLinks/_rels/externalLink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2-03129.xlsx" TargetMode="External"/></Relationships>
</file>

<file path=xl/externalLinks/_rels/externalLink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12-03219.xlsx" TargetMode="External"/></Relationships>
</file>

<file path=xl/externalLinks/_rels/externalLink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1-00112.xlsx" TargetMode="External"/></Relationships>
</file>

<file path=xl/externalLinks/_rels/externalLink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3-00472.xlsx" TargetMode="External"/></Relationships>
</file>

<file path=xl/externalLinks/_rels/externalLink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3-00792.xlsx" TargetMode="External"/></Relationships>
</file>

<file path=xl/externalLinks/_rels/externalLink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098.xlsx" TargetMode="External"/></Relationships>
</file>

<file path=xl/externalLinks/_rels/externalLink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112.xlsx" TargetMode="External"/></Relationships>
</file>

<file path=xl/externalLinks/_rels/externalLink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128.xlsx" TargetMode="External"/></Relationships>
</file>

<file path=xl/externalLinks/_rels/externalLink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6-00379.xlsx" TargetMode="External"/></Relationships>
</file>

<file path=xl/externalLinks/_rels/externalLink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130.xlsx" TargetMode="External"/></Relationships>
</file>

<file path=xl/externalLinks/_rels/externalLink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132.xlsx" TargetMode="External"/></Relationships>
</file>

<file path=xl/externalLinks/_rels/externalLink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352.xlsx" TargetMode="External"/></Relationships>
</file>

<file path=xl/externalLinks/_rels/externalLink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367.xlsx" TargetMode="External"/></Relationships>
</file>

<file path=xl/externalLinks/_rels/externalLink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606B.xlsx" TargetMode="External"/></Relationships>
</file>

<file path=xl/externalLinks/_rels/externalLink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714.xlsx" TargetMode="External"/></Relationships>
</file>

<file path=xl/externalLinks/_rels/externalLink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0768.xlsx" TargetMode="External"/></Relationships>
</file>

<file path=xl/externalLinks/_rels/externalLink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4356.xlsx" TargetMode="External"/></Relationships>
</file>

<file path=xl/externalLinks/_rels/externalLink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6874I.xlsx" TargetMode="External"/></Relationships>
</file>

<file path=xl/externalLinks/_rels/externalLink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7114I.xlsx" TargetMode="External"/></Relationships>
</file>

<file path=xl/externalLinks/_rels/externalLink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78A.xlsx" TargetMode="External"/></Relationships>
</file>

<file path=xl/externalLinks/_rels/externalLink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96I.xlsx" TargetMode="External"/></Relationships>
</file>

<file path=xl/externalLinks/_rels/externalLink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07897I.xlsx" TargetMode="External"/></Relationships>
</file>

<file path=xl/externalLinks/_rels/externalLink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27-10041I.xlsx" TargetMode="External"/></Relationships>
</file>

<file path=xl/externalLinks/_rels/externalLink1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079-00192.xlsx" TargetMode="External"/></Relationships>
</file>

<file path=xl/externalLinks/_rels/externalLink1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10721I.xlsx" TargetMode="External"/></Relationships>
</file>

<file path=xl/externalLinks/_rels/externalLink1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13118I.xlsx" TargetMode="External"/></Relationships>
</file>

<file path=xl/externalLinks/_rels/externalLink1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40A.xlsx" TargetMode="External"/></Relationships>
</file>

<file path=xl/externalLinks/_rels/externalLink1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51A.xlsx" TargetMode="External"/></Relationships>
</file>

<file path=xl/externalLinks/_rels/externalLink1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080I.xlsx" TargetMode="External"/></Relationships>
</file>

<file path=xl/externalLinks/_rels/externalLink1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00I.xlsx" TargetMode="External"/></Relationships>
</file>

<file path=xl/externalLinks/_rels/externalLink1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10I.xlsx" TargetMode="External"/></Relationships>
</file>

<file path=xl/externalLinks/_rels/externalLink1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160I.xlsx" TargetMode="External"/></Relationships>
</file>

<file path=xl/externalLinks/_rels/externalLink1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50I.xlsx" TargetMode="External"/></Relationships>
</file>

<file path=xl/externalLinks/_rels/externalLink1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71A.xlsx" TargetMode="External"/></Relationships>
</file>

<file path=xl/externalLinks/_rels/externalLink1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71I.xlsx" TargetMode="External"/></Relationships>
</file>

<file path=xl/externalLinks/_rels/externalLink1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81A.xlsx" TargetMode="External"/></Relationships>
</file>

<file path=xl/externalLinks/_rels/externalLink1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181I.xlsx" TargetMode="External"/></Relationships>
</file>

<file path=xl/externalLinks/_rels/externalLink1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250I.xlsx" TargetMode="External"/></Relationships>
</file>

<file path=xl/externalLinks/_rels/externalLink1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261I.xlsx" TargetMode="External"/></Relationships>
</file>

<file path=xl/externalLinks/_rels/externalLink1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390I.xlsx" TargetMode="External"/></Relationships>
</file>

<file path=xl/externalLinks/_rels/externalLink1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410I.xlsx" TargetMode="External"/></Relationships>
</file>

<file path=xl/externalLinks/_rels/externalLink1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461I.xlsx" TargetMode="External"/></Relationships>
</file>

<file path=xl/externalLinks/_rels/externalLink1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550I.xlsx" TargetMode="External"/></Relationships>
</file>

<file path=xl/externalLinks/_rels/externalLink1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12A.xlsx" TargetMode="External"/></Relationships>
</file>

<file path=xl/externalLinks/_rels/externalLink1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30I.xlsx" TargetMode="External"/></Relationships>
</file>

<file path=xl/externalLinks/_rels/externalLink1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40I.xlsx" TargetMode="External"/></Relationships>
</file>

<file path=xl/externalLinks/_rels/externalLink1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50I.xlsx" TargetMode="External"/></Relationships>
</file>

<file path=xl/externalLinks/_rels/externalLink1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70I.xlsx" TargetMode="External"/></Relationships>
</file>

<file path=xl/externalLinks/_rels/externalLink1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81I.xlsx" TargetMode="External"/></Relationships>
</file>

<file path=xl/externalLinks/_rels/externalLink1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82I.xlsx" TargetMode="External"/></Relationships>
</file>

<file path=xl/externalLinks/_rels/externalLink1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90A.xlsx" TargetMode="External"/></Relationships>
</file>

<file path=xl/externalLinks/_rels/externalLink1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690I.xlsx" TargetMode="External"/></Relationships>
</file>

<file path=xl/externalLinks/_rels/externalLink1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805A.xlsx" TargetMode="External"/></Relationships>
</file>

<file path=xl/externalLinks/_rels/externalLink1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805I.xlsx" TargetMode="External"/></Relationships>
</file>

<file path=xl/externalLinks/_rels/externalLink1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43I.xlsx" TargetMode="External"/></Relationships>
</file>

<file path=xl/externalLinks/_rels/externalLink1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44Ix.xlsx" TargetMode="External"/></Relationships>
</file>

<file path=xl/externalLinks/_rels/externalLink1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0990I.xlsx" TargetMode="External"/></Relationships>
</file>

<file path=xl/externalLinks/_rels/externalLink1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141I.xlsx" TargetMode="External"/></Relationships>
</file>

<file path=xl/externalLinks/_rels/externalLink1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160I%20.xlsx" TargetMode="External"/></Relationships>
</file>

<file path=xl/externalLinks/_rels/externalLink1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240I.xlsx" TargetMode="External"/></Relationships>
</file>

<file path=xl/externalLinks/_rels/externalLink1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05I.xlsx" TargetMode="External"/></Relationships>
</file>

<file path=xl/externalLinks/_rels/externalLink1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12I.xlsx" TargetMode="External"/></Relationships>
</file>

<file path=xl/externalLinks/_rels/externalLink1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40I.xlsx" TargetMode="External"/></Relationships>
</file>

<file path=xl/externalLinks/_rels/externalLink1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64I.xlsx" TargetMode="External"/></Relationships>
</file>

<file path=xl/externalLinks/_rels/externalLink1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381I.xlsx" TargetMode="External"/></Relationships>
</file>

<file path=xl/externalLinks/_rels/externalLink1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60A.xlsx" TargetMode="External"/></Relationships>
</file>

<file path=xl/externalLinks/_rels/externalLink1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60I.xlsx" TargetMode="External"/></Relationships>
</file>

<file path=xl/externalLinks/_rels/externalLink1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1474A.xlsx" TargetMode="External"/></Relationships>
</file>

<file path=xl/externalLinks/_rels/externalLink1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430A.xlsx" TargetMode="External"/></Relationships>
</file>

<file path=xl/externalLinks/_rels/externalLink1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430I.xlsx" TargetMode="External"/></Relationships>
</file>

<file path=xl/externalLinks/_rels/externalLink1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740I.xlsx" TargetMode="External"/></Relationships>
</file>

<file path=xl/externalLinks/_rels/externalLink1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2804I.xlsx" TargetMode="External"/></Relationships>
</file>

<file path=xl/externalLinks/_rels/externalLink1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11I.xlsx" TargetMode="External"/></Relationships>
</file>

<file path=xl/externalLinks/_rels/externalLink1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70I.xlsx" TargetMode="External"/></Relationships>
</file>

<file path=xl/externalLinks/_rels/externalLink1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080I.xlsx" TargetMode="External"/></Relationships>
</file>

<file path=xl/externalLinks/_rels/externalLink1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00I.xlsx" TargetMode="External"/></Relationships>
</file>

<file path=xl/externalLinks/_rels/externalLink1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01I.xlsx" TargetMode="External"/></Relationships>
</file>

<file path=xl/externalLinks/_rels/externalLink1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110I.xlsx" TargetMode="External"/></Relationships>
</file>

<file path=xl/externalLinks/_rels/externalLink1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3420I.xlsx" TargetMode="External"/></Relationships>
</file>

<file path=xl/externalLinks/_rels/externalLink1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291I.xlsx" TargetMode="External"/></Relationships>
</file>

<file path=xl/externalLinks/_rels/externalLink1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630I.xlsx" TargetMode="External"/></Relationships>
</file>

<file path=xl/externalLinks/_rels/externalLink1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660I.xlsx" TargetMode="External"/></Relationships>
</file>

<file path=xl/externalLinks/_rels/externalLink1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751A.xlsx" TargetMode="External"/></Relationships>
</file>

<file path=xl/externalLinks/_rels/externalLink1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77861I.xlsx" TargetMode="External"/></Relationships>
</file>

<file path=xl/externalLinks/_rels/externalLink1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8010I.xlsx" TargetMode="External"/></Relationships>
</file>

<file path=xl/externalLinks/_rels/externalLink1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520I.xlsx" TargetMode="External"/></Relationships>
</file>

<file path=xl/externalLinks/_rels/externalLink1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701I.xlsx" TargetMode="External"/></Relationships>
</file>

<file path=xl/externalLinks/_rels/externalLink1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39742I.xlsx" TargetMode="External"/></Relationships>
</file>

<file path=xl/externalLinks/_rels/externalLink1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40A.xlsx" TargetMode="External"/></Relationships>
</file>

<file path=xl/externalLinks/_rels/externalLink1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40I.xlsx" TargetMode="External"/></Relationships>
</file>

<file path=xl/externalLinks/_rels/externalLink1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50A.xlsx" TargetMode="External"/></Relationships>
</file>

<file path=xl/externalLinks/_rels/externalLink1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1980I.xlsx" TargetMode="External"/></Relationships>
</file>

<file path=xl/externalLinks/_rels/externalLink1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360I.xlsx" TargetMode="External"/></Relationships>
</file>

<file path=xl/externalLinks/_rels/externalLink1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530I.xlsx" TargetMode="External"/></Relationships>
</file>

<file path=xl/externalLinks/_rels/externalLink1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2900I.xlsx" TargetMode="External"/></Relationships>
</file>

<file path=xl/externalLinks/_rels/externalLink1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4950A.xlsx" TargetMode="External"/></Relationships>
</file>

<file path=xl/externalLinks/_rels/externalLink1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070I.xlsx" TargetMode="External"/></Relationships>
</file>

<file path=xl/externalLinks/_rels/externalLink1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1I.xlsx" TargetMode="External"/></Relationships>
</file>

<file path=xl/externalLinks/_rels/externalLink1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2I.xlsx" TargetMode="External"/></Relationships>
</file>

<file path=xl/externalLinks/_rels/externalLink1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3I.xlsx" TargetMode="External"/></Relationships>
</file>

<file path=xl/externalLinks/_rels/externalLink1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5964I.xlsx" TargetMode="External"/></Relationships>
</file>

<file path=xl/externalLinks/_rels/externalLink1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6298I.xlsx" TargetMode="External"/></Relationships>
</file>

<file path=xl/externalLinks/_rels/externalLink1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7062I.xlsx" TargetMode="External"/></Relationships>
</file>

<file path=xl/externalLinks/_rels/externalLink1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7092I.xlsx" TargetMode="External"/></Relationships>
</file>

<file path=xl/externalLinks/_rels/externalLink1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8530I.xlsx" TargetMode="External"/></Relationships>
</file>

<file path=xl/externalLinks/_rels/externalLink1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48540I.xlsx" TargetMode="External"/></Relationships>
</file>

<file path=xl/externalLinks/_rels/externalLink1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0432.xlsx" TargetMode="External"/></Relationships>
</file>

<file path=xl/externalLinks/_rels/externalLink1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A.xlsx" TargetMode="External"/></Relationships>
</file>

<file path=xl/externalLinks/_rels/externalLink1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AB.xlsx" TargetMode="External"/></Relationships>
</file>

<file path=xl/externalLinks/_rels/externalLink1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55370I.xlsx" TargetMode="External"/></Relationships>
</file>

<file path=xl/externalLinks/_rels/externalLink1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.xlsx" TargetMode="External"/></Relationships>
</file>

<file path=xl/externalLinks/_rels/externalLink1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020.xlsx" TargetMode="External"/></Relationships>
</file>

<file path=xl/externalLinks/_rels/externalLink1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157A040.xlsx" TargetMode="External"/></Relationships>
</file>

<file path=xl/externalLinks/_rels/externalLink1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230I.xlsx" TargetMode="External"/></Relationships>
</file>

<file path=xl/externalLinks/_rels/externalLink1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0265.xlsx" TargetMode="External"/></Relationships>
</file>

<file path=xl/externalLinks/_rels/externalLink1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1393i.xlsx" TargetMode="External"/></Relationships>
</file>

<file path=xl/externalLinks/_rels/externalLink1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1-81395I.xlsx" TargetMode="External"/></Relationships>
</file>

<file path=xl/externalLinks/_rels/externalLink1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33540I.xlsx" TargetMode="External"/></Relationships>
</file>

<file path=xl/externalLinks/_rels/externalLink1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41270I.xlsx" TargetMode="External"/></Relationships>
</file>

<file path=xl/externalLinks/_rels/externalLink1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2-42480I.xlsx" TargetMode="External"/></Relationships>
</file>

<file path=xl/externalLinks/_rels/externalLink1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203-11421.xlsx" TargetMode="External"/></Relationships>
</file>

<file path=xl/externalLinks/_rels/externalLink1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28-21600A.xlsx" TargetMode="External"/></Relationships>
</file>

<file path=xl/externalLinks/_rels/externalLink1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28-21600I.xlsx" TargetMode="External"/></Relationships>
</file>

<file path=xl/externalLinks/_rels/externalLink2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27.xlsx" TargetMode="External"/></Relationships>
</file>

<file path=xl/externalLinks/_rels/externalLink2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29.xlsx" TargetMode="External"/></Relationships>
</file>

<file path=xl/externalLinks/_rels/externalLink2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2-031.xlsx" TargetMode="External"/></Relationships>
</file>

<file path=xl/externalLinks/_rels/externalLink2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48-32.xlsx" TargetMode="External"/></Relationships>
</file>

<file path=xl/externalLinks/_rels/externalLink2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58.xlsx" TargetMode="External"/></Relationships>
</file>

<file path=xl/externalLinks/_rels/externalLink2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46-3-159.xlsx" TargetMode="External"/></Relationships>
</file>

<file path=xl/externalLinks/_rels/externalLink2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51-29760A.xlsx" TargetMode="External"/></Relationships>
</file>

<file path=xl/externalLinks/_rels/externalLink2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6227I.xlsx" TargetMode="External"/></Relationships>
</file>

<file path=xl/externalLinks/_rels/externalLink2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88AA.xlsx" TargetMode="External"/></Relationships>
</file>

<file path=xl/externalLinks/_rels/externalLink2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88I.xlsx" TargetMode="External"/></Relationships>
</file>

<file path=xl/externalLinks/_rels/externalLink2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197I.xlsx" TargetMode="External"/></Relationships>
</file>

<file path=xl/externalLinks/_rels/externalLink2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66-07723.xlsx" TargetMode="External"/></Relationships>
</file>

<file path=xl/externalLinks/_rels/externalLink2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82-08564I.xlsx" TargetMode="External"/></Relationships>
</file>

<file path=xl/externalLinks/_rels/externalLink2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382-08919I.xlsx" TargetMode="External"/></Relationships>
</file>

<file path=xl/externalLinks/_rels/externalLink2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.xlsx" TargetMode="External"/></Relationships>
</file>

<file path=xl/externalLinks/_rels/externalLink2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020.xlsx" TargetMode="External"/></Relationships>
</file>

<file path=xl/externalLinks/_rels/externalLink2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840I040.xlsx" TargetMode="External"/></Relationships>
</file>

<file path=xl/externalLinks/_rels/externalLink2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.xlsx" TargetMode="External"/></Relationships>
</file>

<file path=xl/externalLinks/_rels/externalLink2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010.xlsx" TargetMode="External"/></Relationships>
</file>

<file path=xl/externalLinks/_rels/externalLink2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10I020.xlsx" TargetMode="External"/></Relationships>
</file>

<file path=xl/externalLinks/_rels/externalLink2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60.xlsx" TargetMode="External"/></Relationships>
</file>

<file path=xl/externalLinks/_rels/externalLink2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.xlsx" TargetMode="External"/></Relationships>
</file>

<file path=xl/externalLinks/_rels/externalLink2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10.xlsx" TargetMode="External"/></Relationships>
</file>

<file path=xl/externalLinks/_rels/externalLink2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20.xlsx" TargetMode="External"/></Relationships>
</file>

<file path=xl/externalLinks/_rels/externalLink2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70I30.xlsx" TargetMode="External"/></Relationships>
</file>

<file path=xl/externalLinks/_rels/externalLink2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.xlsx" TargetMode="External"/></Relationships>
</file>

<file path=xl/externalLinks/_rels/externalLink2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10.xlsx" TargetMode="External"/></Relationships>
</file>

<file path=xl/externalLinks/_rels/externalLink2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20.xlsx" TargetMode="External"/></Relationships>
</file>

<file path=xl/externalLinks/_rels/externalLink2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30.xlsx" TargetMode="External"/></Relationships>
</file>

<file path=xl/externalLinks/_rels/externalLink2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80I40.xlsx" TargetMode="External"/></Relationships>
</file>

<file path=xl/externalLinks/_rels/externalLink2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.xlsx" TargetMode="External"/></Relationships>
</file>

<file path=xl/externalLinks/_rels/externalLink2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10.xlsx" TargetMode="External"/></Relationships>
</file>

<file path=xl/externalLinks/_rels/externalLink2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20.xlsx" TargetMode="External"/></Relationships>
</file>

<file path=xl/externalLinks/_rels/externalLink2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30.xlsx" TargetMode="External"/></Relationships>
</file>

<file path=xl/externalLinks/_rels/externalLink2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12990I40.xlsx" TargetMode="External"/></Relationships>
</file>

<file path=xl/externalLinks/_rels/externalLink2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.xlsx" TargetMode="External"/></Relationships>
</file>

<file path=xl/externalLinks/_rels/externalLink2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025.xlsx" TargetMode="External"/></Relationships>
</file>

<file path=xl/externalLinks/_rels/externalLink2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050.xlsx" TargetMode="External"/></Relationships>
</file>

<file path=xl/externalLinks/_rels/externalLink2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0I100.xlsx" TargetMode="External"/></Relationships>
</file>

<file path=xl/externalLinks/_rels/externalLink2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.xlsx" TargetMode="External"/></Relationships>
</file>

<file path=xl/externalLinks/_rels/externalLink2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025.xlsx" TargetMode="External"/></Relationships>
</file>

<file path=xl/externalLinks/_rels/externalLink2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050.xlsx" TargetMode="External"/></Relationships>
</file>

<file path=xl/externalLinks/_rels/externalLink2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011I100.xlsx" TargetMode="External"/></Relationships>
</file>

<file path=xl/externalLinks/_rels/externalLink2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261I.xlsx" TargetMode="External"/></Relationships>
</file>

<file path=xl/externalLinks/_rels/externalLink2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641I.xlsx" TargetMode="External"/></Relationships>
</file>

<file path=xl/externalLinks/_rels/externalLink2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680I.xlsx" TargetMode="External"/></Relationships>
</file>

<file path=xl/externalLinks/_rels/externalLink2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0770I.xlsx" TargetMode="External"/></Relationships>
</file>

<file path=xl/externalLinks/_rels/externalLink2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60I.xlsx" TargetMode="External"/></Relationships>
</file>

<file path=xl/externalLinks/_rels/externalLink2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.xlsx" TargetMode="External"/></Relationships>
</file>

<file path=xl/externalLinks/_rels/externalLink2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25.xlsx" TargetMode="External"/></Relationships>
</file>

<file path=xl/externalLinks/_rels/externalLink2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50.xlsx" TargetMode="External"/></Relationships>
</file>

<file path=xl/externalLinks/_rels/externalLink2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1370I075.xlsx" TargetMode="External"/></Relationships>
</file>

<file path=xl/externalLinks/_rels/externalLink2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.xlsx" TargetMode="External"/></Relationships>
</file>

<file path=xl/externalLinks/_rels/externalLink2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20.xlsx" TargetMode="External"/></Relationships>
</file>

<file path=xl/externalLinks/_rels/externalLink2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40.xlsx" TargetMode="External"/></Relationships>
</file>

<file path=xl/externalLinks/_rels/externalLink2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APER.xlsx" TargetMode="External"/></Relationships>
</file>

<file path=xl/externalLinks/_rels/externalLink2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.xlsx" TargetMode="External"/></Relationships>
</file>

<file path=xl/externalLinks/_rels/externalLink2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025.xlsx" TargetMode="External"/></Relationships>
</file>

<file path=xl/externalLinks/_rels/externalLink2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050.xlsx" TargetMode="External"/></Relationships>
</file>

<file path=xl/externalLinks/_rels/externalLink2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60I100.xlsx" TargetMode="External"/></Relationships>
</file>

<file path=xl/externalLinks/_rels/externalLink2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.xlsx" TargetMode="External"/></Relationships>
</file>

<file path=xl/externalLinks/_rels/externalLink2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025.xlsx" TargetMode="External"/></Relationships>
</file>

<file path=xl/externalLinks/_rels/externalLink2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050.xlsx" TargetMode="External"/></Relationships>
</file>

<file path=xl/externalLinks/_rels/externalLink2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3370I100.xlsx" TargetMode="External"/></Relationships>
</file>

<file path=xl/externalLinks/_rels/externalLink2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4200I.xlsx" TargetMode="External"/></Relationships>
</file>

<file path=xl/externalLinks/_rels/externalLink2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5530I.xlsx" TargetMode="External"/></Relationships>
</file>

<file path=xl/externalLinks/_rels/externalLink2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0-36820I.xlsx" TargetMode="External"/></Relationships>
</file>

<file path=xl/externalLinks/_rels/externalLink2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080.xlsx" TargetMode="External"/></Relationships>
</file>

<file path=xl/externalLinks/_rels/externalLink2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080jr.xlsx" TargetMode="External"/></Relationships>
</file>

<file path=xl/externalLinks/_rels/externalLink2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170B.xlsx" TargetMode="External"/></Relationships>
</file>

<file path=xl/externalLinks/_rels/externalLink2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200.xlsx" TargetMode="External"/></Relationships>
</file>

<file path=xl/externalLinks/_rels/externalLink2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10.xlsx" TargetMode="External"/></Relationships>
</file>

<file path=xl/externalLinks/_rels/externalLink2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20.xlsx" TargetMode="External"/></Relationships>
</file>

<file path=xl/externalLinks/_rels/externalLink2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30.xlsx" TargetMode="External"/></Relationships>
</file>

<file path=xl/externalLinks/_rels/externalLink2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-40.xlsx" TargetMode="External"/></Relationships>
</file>

<file path=xl/externalLinks/_rels/externalLink2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.xlsx" TargetMode="External"/></Relationships>
</file>

<file path=xl/externalLinks/_rels/externalLink2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-10.xlsx" TargetMode="External"/></Relationships>
</file>

<file path=xl/externalLinks/_rels/externalLink2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-20.xlsx" TargetMode="External"/></Relationships>
</file>

<file path=xl/externalLinks/_rels/externalLink2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320I30.xlsx" TargetMode="External"/></Relationships>
</file>

<file path=xl/externalLinks/_rels/externalLink2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430.xlsx" TargetMode="External"/></Relationships>
</file>

<file path=xl/externalLinks/_rels/externalLink2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50.xlsx" TargetMode="External"/></Relationships>
</file>

<file path=xl/externalLinks/_rels/externalLink2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-020.xlsx" TargetMode="External"/></Relationships>
</file>

<file path=xl/externalLinks/_rels/externalLink2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-040.xlsx" TargetMode="External"/></Relationships>
</file>

<file path=xl/externalLinks/_rels/externalLink2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.xlsx" TargetMode="External"/></Relationships>
</file>

<file path=xl/externalLinks/_rels/externalLink2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I20.xlsx" TargetMode="External"/></Relationships>
</file>

<file path=xl/externalLinks/_rels/externalLink2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0990I40.xlsx" TargetMode="External"/></Relationships>
</file>

<file path=xl/externalLinks/_rels/externalLink2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090.xlsx" TargetMode="External"/></Relationships>
</file>

<file path=xl/externalLinks/_rels/externalLink2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110.xlsx" TargetMode="External"/></Relationships>
</file>

<file path=xl/externalLinks/_rels/externalLink2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574-11330.xlsx" TargetMode="External"/></Relationships>
</file>

<file path=xl/externalLinks/_rels/externalLink2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1-31350A.xlsx" TargetMode="External"/></Relationships>
</file>

<file path=xl/externalLinks/_rels/externalLink2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1-54480I.xlsx" TargetMode="External"/></Relationships>
</file>

<file path=xl/externalLinks/_rels/externalLink2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02-41760A.xlsx" TargetMode="External"/></Relationships>
</file>

<file path=xl/externalLinks/_rels/externalLink2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0400.xlsx" TargetMode="External"/></Relationships>
</file>

<file path=xl/externalLinks/_rels/externalLink2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0411.xlsx" TargetMode="External"/></Relationships>
</file>

<file path=xl/externalLinks/_rels/externalLink2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9697I.xlsx" TargetMode="External"/></Relationships>
</file>

<file path=xl/externalLinks/_rels/externalLink2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19706I.xlsx" TargetMode="External"/></Relationships>
</file>

<file path=xl/externalLinks/_rels/externalLink2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03I.xlsx" TargetMode="External"/></Relationships>
</file>

<file path=xl/externalLinks/_rels/externalLink2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35I.xlsx" TargetMode="External"/></Relationships>
</file>

<file path=xl/externalLinks/_rels/externalLink2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43I.xlsx" TargetMode="External"/></Relationships>
</file>

<file path=xl/externalLinks/_rels/externalLink2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3557I.xlsx" TargetMode="External"/></Relationships>
</file>

<file path=xl/externalLinks/_rels/externalLink3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29461I.xlsx" TargetMode="External"/></Relationships>
</file>

<file path=xl/externalLinks/_rels/externalLink3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091.xlsx" TargetMode="External"/></Relationships>
</file>

<file path=xl/externalLinks/_rels/externalLink3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01I.xlsx" TargetMode="External"/></Relationships>
</file>

<file path=xl/externalLinks/_rels/externalLink3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61I.xlsx" TargetMode="External"/></Relationships>
</file>

<file path=xl/externalLinks/_rels/externalLink3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71I.xlsx" TargetMode="External"/></Relationships>
</file>

<file path=xl/externalLinks/_rels/externalLink3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81I.xlsx" TargetMode="External"/></Relationships>
</file>

<file path=xl/externalLinks/_rels/externalLink3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3391.xlsx" TargetMode="External"/></Relationships>
</file>

<file path=xl/externalLinks/_rels/externalLink3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31I.xlsx" TargetMode="External"/></Relationships>
</file>

<file path=xl/externalLinks/_rels/externalLink3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41I.xlsx" TargetMode="External"/></Relationships>
</file>

<file path=xl/externalLinks/_rels/externalLink3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51I.xlsx" TargetMode="External"/></Relationships>
</file>

<file path=xl/externalLinks/_rels/externalLink3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61I.xlsx" TargetMode="External"/></Relationships>
</file>

<file path=xl/externalLinks/_rels/externalLink3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71I.xlsx" TargetMode="External"/></Relationships>
</file>

<file path=xl/externalLinks/_rels/externalLink3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57-34281I.xlsx" TargetMode="External"/></Relationships>
</file>

<file path=xl/externalLinks/_rels/externalLink3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000A.xlsx" TargetMode="External"/></Relationships>
</file>

<file path=xl/externalLinks/_rels/externalLink3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600.xlsx" TargetMode="External"/></Relationships>
</file>

<file path=xl/externalLinks/_rels/externalLink3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0910.xlsx" TargetMode="External"/></Relationships>
</file>

<file path=xl/externalLinks/_rels/externalLink3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1050I.xlsx" TargetMode="External"/></Relationships>
</file>

<file path=xl/externalLinks/_rels/externalLink3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630I.xlsx" TargetMode="External"/></Relationships>
</file>

<file path=xl/externalLinks/_rels/externalLink3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640I..xlsx" TargetMode="External"/></Relationships>
</file>

<file path=xl/externalLinks/_rels/externalLink3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3760I.xlsx" TargetMode="External"/></Relationships>
</file>

<file path=xl/externalLinks/_rels/externalLink3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60I.xlsx" TargetMode="External"/></Relationships>
</file>

<file path=xl/externalLinks/_rels/externalLink3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70A.xlsx" TargetMode="External"/></Relationships>
</file>

<file path=xl/externalLinks/_rels/externalLink3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660-14270I.xlsx" TargetMode="External"/></Relationships>
</file>

<file path=xl/externalLinks/_rels/externalLink3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152I.xlsx" TargetMode="External"/></Relationships>
</file>

<file path=xl/externalLinks/_rels/externalLink3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430I.xlsx" TargetMode="External"/></Relationships>
</file>

<file path=xl/externalLinks/_rels/externalLink3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570I.xlsx" TargetMode="External"/></Relationships>
</file>

<file path=xl/externalLinks/_rels/externalLink3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662I.xlsx" TargetMode="External"/></Relationships>
</file>

<file path=xl/externalLinks/_rels/externalLink3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0663I.xlsx" TargetMode="External"/></Relationships>
</file>

<file path=xl/externalLinks/_rels/externalLink3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.xlsx" TargetMode="External"/></Relationships>
</file>

<file path=xl/externalLinks/_rels/externalLink3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25.xlsx" TargetMode="External"/></Relationships>
</file>

<file path=xl/externalLinks/_rels/externalLink3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50.xlsx" TargetMode="External"/></Relationships>
</file>

<file path=xl/externalLinks/_rels/externalLink3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075.xlsx" TargetMode="External"/></Relationships>
</file>

<file path=xl/externalLinks/_rels/externalLink3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10I100.xlsx" TargetMode="External"/></Relationships>
</file>

<file path=xl/externalLinks/_rels/externalLink3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30I.xlsx" TargetMode="External"/></Relationships>
</file>

<file path=xl/externalLinks/_rels/externalLink3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.xlsx" TargetMode="External"/></Relationships>
</file>

<file path=xl/externalLinks/_rels/externalLink3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025.xlsx" TargetMode="External"/></Relationships>
</file>

<file path=xl/externalLinks/_rels/externalLink3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050.xlsx" TargetMode="External"/></Relationships>
</file>

<file path=xl/externalLinks/_rels/externalLink3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0I100.xlsx" TargetMode="External"/></Relationships>
</file>

<file path=xl/externalLinks/_rels/externalLink3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430Ilsx.xlsx" TargetMode="External"/></Relationships>
</file>

<file path=xl/externalLinks/_rels/externalLink3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.xlsx" TargetMode="External"/></Relationships>
</file>

<file path=xl/externalLinks/_rels/externalLink3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025.xlsx" TargetMode="External"/></Relationships>
</file>

<file path=xl/externalLinks/_rels/externalLink3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050I.xlsx" TargetMode="External"/></Relationships>
</file>

<file path=xl/externalLinks/_rels/externalLink3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50I100.xlsx" TargetMode="External"/></Relationships>
</file>

<file path=xl/externalLinks/_rels/externalLink3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.xlsx" TargetMode="External"/></Relationships>
</file>

<file path=xl/externalLinks/_rels/externalLink3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025.xlsx" TargetMode="External"/></Relationships>
</file>

<file path=xl/externalLinks/_rels/externalLink3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050.xlsx" TargetMode="External"/></Relationships>
</file>

<file path=xl/externalLinks/_rels/externalLink3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60I100.xlsx" TargetMode="External"/></Relationships>
</file>

<file path=xl/externalLinks/_rels/externalLink3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280I.xlsx" TargetMode="External"/></Relationships>
</file>

<file path=xl/externalLinks/_rels/externalLink3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20I.xlsx" TargetMode="External"/></Relationships>
</file>

<file path=xl/externalLinks/_rels/externalLink3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30I.xlsx" TargetMode="External"/></Relationships>
</file>

<file path=xl/externalLinks/_rels/externalLink3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40I.xlsx" TargetMode="External"/></Relationships>
</file>

<file path=xl/externalLinks/_rels/externalLink3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50I.xlsx" TargetMode="External"/></Relationships>
</file>

<file path=xl/externalLinks/_rels/externalLink3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71I.xlsx" TargetMode="External"/></Relationships>
</file>

<file path=xl/externalLinks/_rels/externalLink3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390I.xlsx" TargetMode="External"/></Relationships>
</file>

<file path=xl/externalLinks/_rels/externalLink3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01I.xlsx" TargetMode="External"/></Relationships>
</file>

<file path=xl/externalLinks/_rels/externalLink3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01I025.xlsx" TargetMode="External"/></Relationships>
</file>

<file path=xl/externalLinks/_rels/externalLink3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30I.xlsx" TargetMode="External"/></Relationships>
</file>

<file path=xl/externalLinks/_rels/externalLink3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461I.xlsx" TargetMode="External"/></Relationships>
</file>

<file path=xl/externalLinks/_rels/externalLink3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1873I.xlsx" TargetMode="External"/></Relationships>
</file>

<file path=xl/externalLinks/_rels/externalLink3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021I&#231;.xlsx" TargetMode="External"/></Relationships>
</file>

<file path=xl/externalLinks/_rels/externalLink3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038I.xlsx" TargetMode="External"/></Relationships>
</file>

<file path=xl/externalLinks/_rels/externalLink3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432I.xlsx" TargetMode="External"/></Relationships>
</file>

<file path=xl/externalLinks/_rels/externalLink3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2930.xlsx" TargetMode="External"/></Relationships>
</file>

<file path=xl/externalLinks/_rels/externalLink3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.xlsx" TargetMode="External"/></Relationships>
</file>

<file path=xl/externalLinks/_rels/externalLink3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025.xlsx" TargetMode="External"/></Relationships>
</file>

<file path=xl/externalLinks/_rels/externalLink3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050.xlsx" TargetMode="External"/></Relationships>
</file>

<file path=xl/externalLinks/_rels/externalLink3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3120I100.xlsx" TargetMode="External"/></Relationships>
</file>

<file path=xl/externalLinks/_rels/externalLink3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4120I.xlsx" TargetMode="External"/></Relationships>
</file>

<file path=xl/externalLinks/_rels/externalLink3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4150I.xlsx" TargetMode="External"/></Relationships>
</file>

<file path=xl/externalLinks/_rels/externalLink3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15330I.xlsx" TargetMode="External"/></Relationships>
</file>

<file path=xl/externalLinks/_rels/externalLink3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05I.xlsx" TargetMode="External"/></Relationships>
</file>

<file path=xl/externalLinks/_rels/externalLink3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05I025.xlsx" TargetMode="External"/></Relationships>
</file>

<file path=xl/externalLinks/_rels/externalLink3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092I25.xlsx" TargetMode="External"/></Relationships>
</file>

<file path=xl/externalLinks/_rels/externalLink3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160I.xlsx" TargetMode="External"/></Relationships>
</file>

<file path=xl/externalLinks/_rels/externalLink3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0180I.xlsx" TargetMode="External"/></Relationships>
</file>

<file path=xl/externalLinks/_rels/externalLink3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.xlsx" TargetMode="External"/></Relationships>
</file>

<file path=xl/externalLinks/_rels/externalLink3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020.xlsx" TargetMode="External"/></Relationships>
</file>

<file path=xl/externalLinks/_rels/externalLink3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AP040.xlsx" TargetMode="External"/></Relationships>
</file>

<file path=xl/externalLinks/_rels/externalLink3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.xlsx" TargetMode="External"/></Relationships>
</file>

<file path=xl/externalLinks/_rels/externalLink3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025.xlsx" TargetMode="External"/></Relationships>
</file>

<file path=xl/externalLinks/_rels/externalLink3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050.xlsx" TargetMode="External"/></Relationships>
</file>

<file path=xl/externalLinks/_rels/externalLink3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1610I100.xlsx" TargetMode="External"/></Relationships>
</file>

<file path=xl/externalLinks/_rels/externalLink3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2730I.xlsx" TargetMode="External"/></Relationships>
</file>

<file path=xl/externalLinks/_rels/externalLink3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0-42732I.xlsx" TargetMode="External"/></Relationships>
</file>

<file path=xl/externalLinks/_rels/externalLink3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063I.xlsx" TargetMode="External"/></Relationships>
</file>

<file path=xl/externalLinks/_rels/externalLink3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03A.xlsx" TargetMode="External"/></Relationships>
</file>

<file path=xl/externalLinks/_rels/externalLink3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03I.xlsx" TargetMode="External"/></Relationships>
</file>

<file path=xl/externalLinks/_rels/externalLink3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21A.xlsx" TargetMode="External"/></Relationships>
</file>

<file path=xl/externalLinks/_rels/externalLink3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150I.xlsx" TargetMode="External"/></Relationships>
</file>

<file path=xl/externalLinks/_rels/externalLink3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32I.xlsx" TargetMode="External"/></Relationships>
</file>

<file path=xl/externalLinks/_rels/externalLink3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44I.xlsx" TargetMode="External"/></Relationships>
</file>

<file path=xl/externalLinks/_rels/externalLink3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288I.xlsx" TargetMode="External"/></Relationships>
</file>

<file path=xl/externalLinks/_rels/externalLink3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24I.xlsx" TargetMode="External"/></Relationships>
</file>

<file path=xl/externalLinks/_rels/externalLink3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30I.xlsx" TargetMode="External"/></Relationships>
</file>

<file path=xl/externalLinks/_rels/externalLink3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90A.xlsx" TargetMode="External"/></Relationships>
</file>

<file path=xl/externalLinks/_rels/externalLink3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390I.xlsx" TargetMode="External"/></Relationships>
</file>

<file path=xl/externalLinks/_rels/externalLink3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30A.xlsx" TargetMode="External"/></Relationships>
</file>

<file path=xl/externalLinks/_rels/externalLink3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30I.xlsx" TargetMode="External"/></Relationships>
</file>

<file path=xl/externalLinks/_rels/externalLink3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490I.xlsx" TargetMode="External"/></Relationships>
</file>

<file path=xl/externalLinks/_rels/externalLink3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520I.xlsx" TargetMode="External"/></Relationships>
</file>

<file path=xl/externalLinks/_rels/externalLink4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580I.xlsx" TargetMode="External"/></Relationships>
</file>

<file path=xl/externalLinks/_rels/externalLink4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20A.xlsx" TargetMode="External"/></Relationships>
</file>

<file path=xl/externalLinks/_rels/externalLink4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20I.xlsx" TargetMode="External"/></Relationships>
</file>

<file path=xl/externalLinks/_rels/externalLink4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61I.xlsx" TargetMode="External"/></Relationships>
</file>

<file path=xl/externalLinks/_rels/externalLink4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672I.xlsx" TargetMode="External"/></Relationships>
</file>

<file path=xl/externalLinks/_rels/externalLink4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03I.xlsx" TargetMode="External"/></Relationships>
</file>

<file path=xl/externalLinks/_rels/externalLink4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13I.xlsx" TargetMode="External"/></Relationships>
</file>

<file path=xl/externalLinks/_rels/externalLink4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50I.xlsx" TargetMode="External"/></Relationships>
</file>

<file path=xl/externalLinks/_rels/externalLink4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0965Ix.xlsx" TargetMode="External"/></Relationships>
</file>

<file path=xl/externalLinks/_rels/externalLink4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073A.xlsx" TargetMode="External"/></Relationships>
</file>

<file path=xl/externalLinks/_rels/externalLink4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121A.xlsx" TargetMode="External"/></Relationships>
</file>

<file path=xl/externalLinks/_rels/externalLink4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121I.xlsx" TargetMode="External"/></Relationships>
</file>

<file path=xl/externalLinks/_rels/externalLink4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22A.xlsx" TargetMode="External"/></Relationships>
</file>

<file path=xl/externalLinks/_rels/externalLink4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22Ixlsx.xlsx" TargetMode="External"/></Relationships>
</file>

<file path=xl/externalLinks/_rels/externalLink4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280I.xlsx" TargetMode="External"/></Relationships>
</file>

<file path=xl/externalLinks/_rels/externalLink4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322I.xlsx" TargetMode="External"/></Relationships>
</file>

<file path=xl/externalLinks/_rels/externalLink4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460I.xlsx" TargetMode="External"/></Relationships>
</file>

<file path=xl/externalLinks/_rels/externalLink4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22I.xlsx" TargetMode="External"/></Relationships>
</file>

<file path=xl/externalLinks/_rels/externalLink4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30I.xlsx" TargetMode="External"/></Relationships>
</file>

<file path=xl/externalLinks/_rels/externalLink4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761A.xlsx" TargetMode="External"/></Relationships>
</file>

<file path=xl/externalLinks/_rels/externalLink4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930I.xlsx" TargetMode="External"/></Relationships>
</file>

<file path=xl/externalLinks/_rels/externalLink4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1932I.xlsx" TargetMode="External"/></Relationships>
</file>

<file path=xl/externalLinks/_rels/externalLink4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198I.xlsx" TargetMode="External"/></Relationships>
</file>

<file path=xl/externalLinks/_rels/externalLink4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320I.xlsx" TargetMode="External"/></Relationships>
</file>

<file path=xl/externalLinks/_rels/externalLink4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330Ix.xlsx" TargetMode="External"/></Relationships>
</file>

<file path=xl/externalLinks/_rels/externalLink4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460I.xlsx" TargetMode="External"/></Relationships>
</file>

<file path=xl/externalLinks/_rels/externalLink4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70I.xlsx" TargetMode="External"/></Relationships>
</file>

<file path=xl/externalLinks/_rels/externalLink4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80I.xlsx" TargetMode="External"/></Relationships>
</file>

<file path=xl/externalLinks/_rels/externalLink4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692I.xlsx" TargetMode="External"/></Relationships>
</file>

<file path=xl/externalLinks/_rels/externalLink4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23Ix.xlsx" TargetMode="External"/></Relationships>
</file>

<file path=xl/externalLinks/_rels/externalLink4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70I.xlsx" TargetMode="External"/></Relationships>
</file>

<file path=xl/externalLinks/_rels/externalLink4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894I.xlsx" TargetMode="External"/></Relationships>
</file>

<file path=xl/externalLinks/_rels/externalLink4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71I.xlsx" TargetMode="External"/></Relationships>
</file>

<file path=xl/externalLinks/_rels/externalLink43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80I.xlsx" TargetMode="External"/></Relationships>
</file>

<file path=xl/externalLinks/_rels/externalLink43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2983I.xlsx" TargetMode="External"/></Relationships>
</file>

<file path=xl/externalLinks/_rels/externalLink43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010I.xlsx" TargetMode="External"/></Relationships>
</file>

<file path=xl/externalLinks/_rels/externalLink43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054I.xlsx" TargetMode="External"/></Relationships>
</file>

<file path=xl/externalLinks/_rels/externalLink43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100I.xlsx" TargetMode="External"/></Relationships>
</file>

<file path=xl/externalLinks/_rels/externalLink43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130I.xlsx" TargetMode="External"/></Relationships>
</file>

<file path=xl/externalLinks/_rels/externalLink43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570I.xlsx" TargetMode="External"/></Relationships>
</file>

<file path=xl/externalLinks/_rels/externalLink44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3971I.xlsx" TargetMode="External"/></Relationships>
</file>

<file path=xl/externalLinks/_rels/externalLink44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4730I.xlsx" TargetMode="External"/></Relationships>
</file>

<file path=xl/externalLinks/_rels/externalLink44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4780I.xlsx" TargetMode="External"/></Relationships>
</file>

<file path=xl/externalLinks/_rels/externalLink44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43I.xlsx" TargetMode="External"/></Relationships>
</file>

<file path=xl/externalLinks/_rels/externalLink44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50I.xlsx" TargetMode="External"/></Relationships>
</file>

<file path=xl/externalLinks/_rels/externalLink44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61I.xlsx" TargetMode="External"/></Relationships>
</file>

<file path=xl/externalLinks/_rels/externalLink44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070I.xlsx" TargetMode="External"/></Relationships>
</file>

<file path=xl/externalLinks/_rels/externalLink44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201I.xlsx" TargetMode="External"/></Relationships>
</file>

<file path=xl/externalLinks/_rels/externalLink44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360I.xlsx" TargetMode="External"/></Relationships>
</file>

<file path=xl/externalLinks/_rels/externalLink44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30I.xlsx" TargetMode="External"/></Relationships>
</file>

<file path=xl/externalLinks/_rels/externalLink45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41I.xlsx" TargetMode="External"/></Relationships>
</file>

<file path=xl/externalLinks/_rels/externalLink45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460I.xlsx" TargetMode="External"/></Relationships>
</file>

<file path=xl/externalLinks/_rels/externalLink45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720I.xlsx" TargetMode="External"/></Relationships>
</file>

<file path=xl/externalLinks/_rels/externalLink45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5871I.xlsx" TargetMode="External"/></Relationships>
</file>

<file path=xl/externalLinks/_rels/externalLink45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010I.xlsx" TargetMode="External"/></Relationships>
</file>

<file path=xl/externalLinks/_rels/externalLink45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612I.xlsx" TargetMode="External"/></Relationships>
</file>

<file path=xl/externalLinks/_rels/externalLink45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6613I.xlsx" TargetMode="External"/></Relationships>
</file>

<file path=xl/externalLinks/_rels/externalLink45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230I.xlsx" TargetMode="External"/></Relationships>
</file>

<file path=xl/externalLinks/_rels/externalLink45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00I.xlsx" TargetMode="External"/></Relationships>
</file>

<file path=xl/externalLinks/_rels/externalLink45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10A.xlsx" TargetMode="External"/></Relationships>
</file>

<file path=xl/externalLinks/_rels/externalLink46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20A.xlsx" TargetMode="External"/></Relationships>
</file>

<file path=xl/externalLinks/_rels/externalLink46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20I.xlsx" TargetMode="External"/></Relationships>
</file>

<file path=xl/externalLinks/_rels/externalLink46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7830A.xlsx" TargetMode="External"/></Relationships>
</file>

<file path=xl/externalLinks/_rels/externalLink46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00A.xlsx" TargetMode="External"/></Relationships>
</file>

<file path=xl/externalLinks/_rels/externalLink46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00I.xlsx" TargetMode="External"/></Relationships>
</file>

<file path=xl/externalLinks/_rels/externalLink46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00A.xlsx" TargetMode="External"/></Relationships>
</file>

<file path=xl/externalLinks/_rels/externalLink46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00I.xlsx" TargetMode="External"/></Relationships>
</file>

<file path=xl/externalLinks/_rels/externalLink46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140I.xlsx" TargetMode="External"/></Relationships>
</file>

<file path=xl/externalLinks/_rels/externalLink46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8290I.xlsx" TargetMode="External"/></Relationships>
</file>

<file path=xl/externalLinks/_rels/externalLink46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19700I.xlsx" TargetMode="External"/></Relationships>
</file>

<file path=xl/externalLinks/_rels/externalLink47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12I.xlsx" TargetMode="External"/></Relationships>
</file>

<file path=xl/externalLinks/_rels/externalLink47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73I.xlsx" TargetMode="External"/></Relationships>
</file>

<file path=xl/externalLinks/_rels/externalLink47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84I.xlsx" TargetMode="External"/></Relationships>
</file>

<file path=xl/externalLinks/_rels/externalLink47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192I.xlsx" TargetMode="External"/></Relationships>
</file>

<file path=xl/externalLinks/_rels/externalLink47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03R.xlsx" TargetMode="External"/></Relationships>
</file>

<file path=xl/externalLinks/_rels/externalLink47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11A.xlsx" TargetMode="External"/></Relationships>
</file>

<file path=xl/externalLinks/_rels/externalLink47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281A.xlsx" TargetMode="External"/></Relationships>
</file>

<file path=xl/externalLinks/_rels/externalLink47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450A.xlsx" TargetMode="External"/></Relationships>
</file>

<file path=xl/externalLinks/_rels/externalLink47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21I.xlsx" TargetMode="External"/></Relationships>
</file>

<file path=xl/externalLinks/_rels/externalLink47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30I.xlsx" TargetMode="External"/></Relationships>
</file>

<file path=xl/externalLinks/_rels/externalLink48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50I.xlsx" TargetMode="External"/></Relationships>
</file>

<file path=xl/externalLinks/_rels/externalLink48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551I.xlsx" TargetMode="External"/></Relationships>
</file>

<file path=xl/externalLinks/_rels/externalLink48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630I.xlsx" TargetMode="External"/></Relationships>
</file>

<file path=xl/externalLinks/_rels/externalLink48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671I.xlsx" TargetMode="External"/></Relationships>
</file>

<file path=xl/externalLinks/_rels/externalLink48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60I.xlsx" TargetMode="External"/></Relationships>
</file>

<file path=xl/externalLinks/_rels/externalLink48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92A.xlsx" TargetMode="External"/></Relationships>
</file>

<file path=xl/externalLinks/_rels/externalLink48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0892I.xlsx" TargetMode="External"/></Relationships>
</file>

<file path=xl/externalLinks/_rels/externalLink48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190A.xlsx" TargetMode="External"/></Relationships>
</file>

<file path=xl/externalLinks/_rels/externalLink48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322I.xlsx" TargetMode="External"/></Relationships>
</file>

<file path=xl/externalLinks/_rels/externalLink48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1701I.xlsx" TargetMode="External"/></Relationships>
</file>

<file path=xl/externalLinks/_rels/externalLink49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2670A.xlsx" TargetMode="External"/></Relationships>
</file>

<file path=xl/externalLinks/_rels/externalLink49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2670A020.xlsx" TargetMode="External"/></Relationships>
</file>

<file path=xl/externalLinks/_rels/externalLink49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1-45740A.xlsx" TargetMode="External"/></Relationships>
</file>

<file path=xl/externalLinks/_rels/externalLink49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10802I.xlsx" TargetMode="External"/></Relationships>
</file>

<file path=xl/externalLinks/_rels/externalLink49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15120I.xlsx" TargetMode="External"/></Relationships>
</file>

<file path=xl/externalLinks/_rels/externalLink49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2-40751I.xlsx" TargetMode="External"/></Relationships>
</file>

<file path=xl/externalLinks/_rels/externalLink49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0802A.xlsx" TargetMode="External"/></Relationships>
</file>

<file path=xl/externalLinks/_rels/externalLink49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0802I.xlsx" TargetMode="External"/></Relationships>
</file>

<file path=xl/externalLinks/_rels/externalLink49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17740I.xlsx" TargetMode="External"/></Relationships>
</file>

<file path=xl/externalLinks/_rels/externalLink49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40891A.xlsx" TargetMode="External"/></Relationships>
</file>

<file path=xl/externalLinks/_rels/externalLink50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3-40891I.xlsx" TargetMode="External"/></Relationships>
</file>

<file path=xl/externalLinks/_rels/externalLink50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615I.xlsx" TargetMode="External"/></Relationships>
</file>

<file path=xl/externalLinks/_rels/externalLink50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22A.xlsx" TargetMode="External"/></Relationships>
</file>

<file path=xl/externalLinks/_rels/externalLink50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2A.xlsx" TargetMode="External"/></Relationships>
</file>

<file path=xl/externalLinks/_rels/externalLink50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0804I.xlsx" TargetMode="External"/></Relationships>
</file>

<file path=xl/externalLinks/_rels/externalLink50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15120I.xlsx" TargetMode="External"/></Relationships>
</file>

<file path=xl/externalLinks/_rels/externalLink50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5120I.xlsx" TargetMode="External"/></Relationships>
</file>

<file path=xl/externalLinks/_rels/externalLink50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17740I.xlsx" TargetMode="External"/></Relationships>
</file>

<file path=xl/externalLinks/_rels/externalLink50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0891A.xlsx" TargetMode="External"/></Relationships>
</file>

<file path=xl/externalLinks/_rels/externalLink50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0891L.xlsx" TargetMode="External"/></Relationships>
</file>

<file path=xl/externalLinks/_rels/externalLink51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320I.xlsx" TargetMode="External"/></Relationships>
</file>

<file path=xl/externalLinks/_rels/externalLink51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531I.xlsx" TargetMode="External"/></Relationships>
</file>

<file path=xl/externalLinks/_rels/externalLink51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2640I.xlsx" TargetMode="External"/></Relationships>
</file>

<file path=xl/externalLinks/_rels/externalLink51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3311I.xlsx" TargetMode="External"/></Relationships>
</file>

<file path=xl/externalLinks/_rels/externalLink51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3320I.xlsx" TargetMode="External"/></Relationships>
</file>

<file path=xl/externalLinks/_rels/externalLink51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4580I.xlsx" TargetMode="External"/></Relationships>
</file>

<file path=xl/externalLinks/_rels/externalLink51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4-44590Ix.xlsx" TargetMode="External"/></Relationships>
</file>

<file path=xl/externalLinks/_rels/externalLink51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0442I.xlsx" TargetMode="External"/></Relationships>
</file>

<file path=xl/externalLinks/_rels/externalLink51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0562I.xlsx" TargetMode="External"/></Relationships>
</file>

<file path=xl/externalLinks/_rels/externalLink51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3121I.xlsx" TargetMode="External"/></Relationships>
</file>

<file path=xl/externalLinks/_rels/externalLink52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3192I.xlsx" TargetMode="External"/></Relationships>
</file>

<file path=xl/externalLinks/_rels/externalLink52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4175I.xlsx" TargetMode="External"/></Relationships>
</file>

<file path=xl/externalLinks/_rels/externalLink52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4981I.xlsx" TargetMode="External"/></Relationships>
</file>

<file path=xl/externalLinks/_rels/externalLink523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5721I.xlsx" TargetMode="External"/></Relationships>
</file>

<file path=xl/externalLinks/_rels/externalLink524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6910I.xlsx" TargetMode="External"/></Relationships>
</file>

<file path=xl/externalLinks/_rels/externalLink525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7420I.xlsx" TargetMode="External"/></Relationships>
</file>

<file path=xl/externalLinks/_rels/externalLink526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8460I.xlsx" TargetMode="External"/></Relationships>
</file>

<file path=xl/externalLinks/_rels/externalLink527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18811I.xlsx" TargetMode="External"/></Relationships>
</file>

<file path=xl/externalLinks/_rels/externalLink528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0300I.xlsx" TargetMode="External"/></Relationships>
</file>

<file path=xl/externalLinks/_rels/externalLink529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4700I.xlsx" TargetMode="External"/></Relationships>
</file>

<file path=xl/externalLinks/_rels/externalLink530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6381I.xlsx" TargetMode="External"/></Relationships>
</file>

<file path=xl/externalLinks/_rels/externalLink531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27890A.xlsx" TargetMode="External"/></Relationships>
</file>

<file path=xl/externalLinks/_rels/externalLink532.xml.rels><?xml version="1.0" encoding="UTF-8" standalone="yes"?>
<Relationships xmlns="http://schemas.openxmlformats.org/package/2006/relationships"><Relationship Id="rId1" Type="http://schemas.openxmlformats.org/officeDocument/2006/relationships/externalLinkPath" Target="REPUESTOS%20FICHERO/757-32260I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</sheetNames>
    <sheetDataSet>
      <sheetData sheetId="0">
        <row r="1">
          <cell r="A1" t="str">
            <v>000-00000</v>
          </cell>
          <cell r="C1"/>
          <cell r="I1"/>
        </row>
        <row r="2">
          <cell r="I2"/>
        </row>
        <row r="5">
          <cell r="A5"/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000-00000 </v>
          </cell>
          <cell r="C1" t="str">
            <v xml:space="preserve"> 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008-02006</v>
          </cell>
          <cell r="C1" t="str">
            <v>tapon de lubricacion arbol de levas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 t="str">
            <v xml:space="preserve">sin mov  </v>
          </cell>
        </row>
      </sheetData>
      <sheetData sheetId="1"/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008-02013</v>
          </cell>
          <cell r="C1" t="str">
            <v>cuerpo de descompresor 08/1 y 16/2 (cil nro 2)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muestra</v>
          </cell>
        </row>
      </sheetData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008-02020</v>
          </cell>
          <cell r="C1" t="str">
            <v>puerta de cilindro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008-02020</v>
          </cell>
          <cell r="C1" t="str">
            <v>puerta de cilindro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008-02024B</v>
          </cell>
          <cell r="C1" t="str">
            <v>brida de agua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008-02025</v>
          </cell>
          <cell r="C1" t="str">
            <v>codo respiradero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008-02029</v>
          </cell>
          <cell r="C1" t="str">
            <v>eje de engranaje intermedio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>
            <v>44094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008-02029</v>
          </cell>
          <cell r="C1" t="str">
            <v>eje de engranaje intermedio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008-02039B</v>
          </cell>
          <cell r="C1" t="str">
            <v xml:space="preserve">bomba inyectora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44124</v>
          </cell>
        </row>
        <row r="7">
          <cell r="A7">
            <v>44125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008-02062F</v>
          </cell>
          <cell r="C1" t="str">
            <v xml:space="preserve">junta de bancada FINA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60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008-02062F</v>
          </cell>
          <cell r="C1" t="str">
            <v xml:space="preserve">junta de bancada GRUESA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180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008-02102</v>
          </cell>
          <cell r="C1" t="str">
            <v xml:space="preserve">bandeja de salpicado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 xml:space="preserve">sin movimiento </v>
          </cell>
        </row>
      </sheetData>
      <sheetData sheetId="1"/>
      <sheetData sheetId="2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008-02123</v>
          </cell>
          <cell r="C1" t="str">
            <v xml:space="preserve">tornillo de ajuste  del botador c/rod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sin movimiento    A IDENTIFICAR</v>
          </cell>
        </row>
      </sheetData>
      <sheetData sheetId="1"/>
      <sheetData sheetId="2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008-02124</v>
          </cell>
          <cell r="C1" t="str">
            <v xml:space="preserve">leva de bomba inyectora LL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22</v>
          </cell>
          <cell r="H22">
            <v>5</v>
          </cell>
        </row>
        <row r="23">
          <cell r="A23" t="str">
            <v>hay 3 mas nacionales ex RAL sin valor</v>
          </cell>
        </row>
      </sheetData>
      <sheetData sheetId="1"/>
      <sheetData sheetId="2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008-02126</v>
          </cell>
          <cell r="C1" t="str">
            <v>perno del botador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181</v>
          </cell>
        </row>
        <row r="23">
          <cell r="A23" t="str">
            <v xml:space="preserve">sin movimiento  - </v>
          </cell>
        </row>
      </sheetData>
      <sheetData sheetId="1"/>
      <sheetData sheetId="2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008-02127</v>
          </cell>
          <cell r="C1" t="str">
            <v>rodillo del botador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192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008-02129</v>
          </cell>
          <cell r="C1" t="str">
            <v>tornillo  localizac de botador con rod.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31</v>
          </cell>
        </row>
        <row r="23">
          <cell r="A23" t="str">
            <v>sin movim</v>
          </cell>
        </row>
      </sheetData>
      <sheetData sheetId="1"/>
      <sheetData sheetId="2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008-02160</v>
          </cell>
          <cell r="C1" t="str">
            <v xml:space="preserve">alojamiento de valvula bba aceite 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solo uno de muestra</v>
          </cell>
        </row>
      </sheetData>
      <sheetData sheetId="1"/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008-02160</v>
          </cell>
          <cell r="C1" t="str">
            <v xml:space="preserve">alojamiento de valvula bba aceite   8/1 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solo uno de muestra</v>
          </cell>
        </row>
      </sheetData>
      <sheetData sheetId="1"/>
      <sheetData sheetId="2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008-02161</v>
          </cell>
          <cell r="C1" t="str">
            <v>conexión salida bba de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 t="str">
            <v>no tiene venta - muy poco movimiento</v>
          </cell>
        </row>
      </sheetData>
      <sheetData sheetId="1"/>
      <sheetData sheetId="2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008-02168B</v>
          </cell>
          <cell r="C1" t="str">
            <v>caño de succion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 t="str">
            <v>sin movimiento -  ver  si son de cobre</v>
          </cell>
        </row>
      </sheetData>
      <sheetData sheetId="1"/>
      <sheetData sheetId="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008-02176</v>
          </cell>
          <cell r="C1" t="str">
            <v>resorte de embolo de bba aciete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008-02177</v>
          </cell>
          <cell r="C1" t="str">
            <v>reten de botador con pie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44094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008-02178</v>
          </cell>
          <cell r="C1" t="str">
            <v>reten de embolo bba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>
            <v>44094</v>
          </cell>
        </row>
        <row r="7">
          <cell r="A7">
            <v>44122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008-02187</v>
          </cell>
          <cell r="C1" t="str">
            <v>caño de entrega  bba aceite 8/1</v>
          </cell>
          <cell r="I1">
            <v>1</v>
          </cell>
        </row>
        <row r="2">
          <cell r="I2">
            <v>11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16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008-02195</v>
          </cell>
          <cell r="C1" t="str">
            <v>junta de  bba aceite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80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008-02201</v>
          </cell>
          <cell r="C1" t="str">
            <v>placa de salpicado puerta de carter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008-02218B</v>
          </cell>
          <cell r="C1" t="str">
            <v xml:space="preserve"> colador de aceite 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40</v>
          </cell>
        </row>
        <row r="23">
          <cell r="A23" t="str">
            <v>sin movimiento</v>
          </cell>
        </row>
      </sheetData>
      <sheetData sheetId="1"/>
      <sheetData sheetId="2"/>
    </sheetDataSet>
  </externalBook>
</externalLink>
</file>

<file path=xl/externalLinks/externalLink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008-03017</v>
          </cell>
          <cell r="C1" t="str">
            <v xml:space="preserve"> eje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85</v>
          </cell>
        </row>
        <row r="23">
          <cell r="A23" t="str">
            <v>sin movimiento   -    hay algunos nacionaels ex RAL</v>
          </cell>
        </row>
      </sheetData>
      <sheetData sheetId="1"/>
      <sheetData sheetId="2"/>
    </sheetDataSet>
  </externalBook>
</externalLink>
</file>

<file path=xl/externalLinks/externalLink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008-03018</v>
          </cell>
          <cell r="C1" t="str">
            <v>soporte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008-03019</v>
          </cell>
          <cell r="C1" t="str">
            <v>tapon eje de balancines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008-03020</v>
          </cell>
          <cell r="C1" t="str">
            <v>varilla levanta valvula  adm- (larga)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44082</v>
          </cell>
        </row>
        <row r="8">
          <cell r="A8">
            <v>43855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 t="str">
            <v>hay algunas RALCO</v>
          </cell>
        </row>
      </sheetData>
      <sheetData sheetId="1"/>
      <sheetData sheetId="2"/>
    </sheetDataSet>
  </externalBook>
</externalLink>
</file>

<file path=xl/externalLinks/externalLink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008-03021</v>
          </cell>
          <cell r="C1" t="str">
            <v>varilla levanta valvula  esc (corta)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44129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hay algunas RALCO</v>
          </cell>
        </row>
      </sheetData>
      <sheetData sheetId="1"/>
      <sheetData sheetId="2"/>
    </sheetDataSet>
  </externalBook>
</externalLink>
</file>

<file path=xl/externalLinks/externalLink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008-03022</v>
          </cell>
          <cell r="C1" t="str">
            <v>prolongacion grasera 8/1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muestra  - no vender </v>
          </cell>
        </row>
      </sheetData>
      <sheetData sheetId="1"/>
      <sheetData sheetId="2"/>
    </sheetDataSet>
  </externalBook>
</externalLink>
</file>

<file path=xl/externalLinks/externalLink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008-03026B</v>
          </cell>
          <cell r="C1" t="str">
            <v>cubierta de cabeza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008-03051</v>
          </cell>
          <cell r="C1" t="str">
            <v>junta de  cabeza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44122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008-03051C</v>
          </cell>
          <cell r="C1" t="str">
            <v>junta de  cabeza - cobre -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44055</v>
          </cell>
        </row>
        <row r="7">
          <cell r="A7">
            <v>44074</v>
          </cell>
        </row>
        <row r="8">
          <cell r="A8">
            <v>44077</v>
          </cell>
        </row>
        <row r="9">
          <cell r="A9"/>
        </row>
        <row r="10">
          <cell r="A10">
            <v>44115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45</v>
          </cell>
          <cell r="H22">
            <v>42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008-03053</v>
          </cell>
          <cell r="C1" t="str">
            <v>resorte eje de balancines  LL</v>
          </cell>
          <cell r="I1">
            <v>11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26</v>
          </cell>
        </row>
        <row r="23">
          <cell r="A23" t="str">
            <v xml:space="preserve">sin movimiento   -   </v>
          </cell>
        </row>
      </sheetData>
      <sheetData sheetId="1"/>
      <sheetData sheetId="2"/>
    </sheetDataSet>
  </externalBook>
</externalLink>
</file>

<file path=xl/externalLinks/externalLink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008-04003</v>
          </cell>
          <cell r="C1" t="str">
            <v>perno  de pistón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008-04006</v>
          </cell>
          <cell r="C1" t="str">
            <v>bulón de biela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008-04007</v>
          </cell>
          <cell r="C1" t="str">
            <v>buje de biela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32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008-04010</v>
          </cell>
          <cell r="C1" t="str">
            <v>seguro de perno de piston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44077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60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008-04012</v>
          </cell>
          <cell r="C1" t="str">
            <v>paleta salpicadora de biela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44094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008-04025/20</v>
          </cell>
          <cell r="C1" t="str">
            <v>piston +0,020"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008-04025/40</v>
          </cell>
          <cell r="C1" t="str">
            <v>piston std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008-04025</v>
          </cell>
          <cell r="C1" t="str">
            <v>piston std  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44050</v>
          </cell>
        </row>
        <row r="7">
          <cell r="A7">
            <v>44098</v>
          </cell>
        </row>
        <row r="8">
          <cell r="A8">
            <v>44089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008-05002</v>
          </cell>
          <cell r="C1" t="str">
            <v>piñon del cigüeñal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008-06002B</v>
          </cell>
          <cell r="C1" t="str">
            <v>buje de a de levas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>
            <v>44094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32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008-06056</v>
          </cell>
          <cell r="C1" t="str">
            <v>palanca superio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hotras 13 B</v>
          </cell>
        </row>
      </sheetData>
      <sheetData sheetId="1"/>
      <sheetData sheetId="2"/>
    </sheetDataSet>
  </externalBook>
</externalLink>
</file>

<file path=xl/externalLinks/externalLink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008-06078B</v>
          </cell>
          <cell r="C1" t="str">
            <v>palanca inferior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008-06106</v>
          </cell>
          <cell r="C1" t="str">
            <v>cotrapeso del regulador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>
            <v>44094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008-24165</v>
          </cell>
          <cell r="C1" t="str">
            <v>buje de balancin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008-24227B</v>
          </cell>
          <cell r="C1" t="str">
            <v>manguito del regulador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008-24239F</v>
          </cell>
          <cell r="C1" t="str">
            <v xml:space="preserve">   junta entre carter y cilindro F }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116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008-24239G</v>
          </cell>
          <cell r="C1" t="str">
            <v xml:space="preserve">   junta entre carter y cilindro G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118</v>
          </cell>
          <cell r="H22">
            <v>9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008-24249</v>
          </cell>
          <cell r="C1" t="str">
            <v xml:space="preserve">paleta salpicadora 8/1   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150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008-24256CA</v>
          </cell>
          <cell r="C1" t="str">
            <v>camisa de cilindro lisa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008-30006</v>
          </cell>
          <cell r="C1" t="str">
            <v>o ring guiaVA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>
            <v>44088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008-30035</v>
          </cell>
          <cell r="C1" t="str">
            <v>o ring manguito iny VA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58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008-30060</v>
          </cell>
          <cell r="C1" t="str">
            <v>caño de inyeccion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008-30175</v>
          </cell>
          <cell r="C1" t="str">
            <v>embolo buzo de bba aceite 8/1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>
            <v>44121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22</v>
          </cell>
        </row>
        <row r="23">
          <cell r="A23" t="str">
            <v>cantidad a revisar</v>
          </cell>
        </row>
      </sheetData>
      <sheetData sheetId="1"/>
      <sheetData sheetId="2"/>
    </sheetDataSet>
  </externalBook>
</externalLink>
</file>

<file path=xl/externalLinks/externalLink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009-06003</v>
          </cell>
          <cell r="C1" t="str">
            <v>buje de cubierta a de levas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009-06087</v>
          </cell>
          <cell r="C1" t="str">
            <v>palanca inferior 16/2 - corta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010-02059</v>
          </cell>
          <cell r="C1" t="str">
            <v>junta de brida de agua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010-03015</v>
          </cell>
          <cell r="C1" t="str">
            <v>golpeador de balancin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010-03023B</v>
          </cell>
          <cell r="C1" t="str">
            <v>tapa de vastago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60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010-03025</v>
          </cell>
          <cell r="C1" t="str">
            <v>chaveta 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44088</v>
          </cell>
        </row>
        <row r="7">
          <cell r="A7">
            <v>44092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7</v>
          </cell>
          <cell r="H22">
            <v>75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010-03025</v>
          </cell>
          <cell r="C1" t="str">
            <v>chaveta 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85</v>
          </cell>
        </row>
        <row r="23">
          <cell r="A23" t="str">
            <v>hay  aprox 20 naciales mas</v>
          </cell>
        </row>
      </sheetData>
      <sheetData sheetId="1"/>
      <sheetData sheetId="2"/>
    </sheetDataSet>
  </externalBook>
</externalLink>
</file>

<file path=xl/externalLinks/externalLink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010-03041</v>
          </cell>
          <cell r="C1" t="str">
            <v>junta asiento de inyector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44094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100</v>
          </cell>
        </row>
        <row r="23">
          <cell r="A23" t="str">
            <v xml:space="preserve">cantidad a revisar </v>
          </cell>
        </row>
      </sheetData>
      <sheetData sheetId="1"/>
      <sheetData sheetId="2"/>
    </sheetDataSet>
  </externalBook>
</externalLink>
</file>

<file path=xl/externalLinks/externalLink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010-03041X </v>
          </cell>
          <cell r="C1" t="str">
            <v>junta filtro de combustible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44094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205</v>
          </cell>
        </row>
        <row r="23">
          <cell r="A23" t="str">
            <v xml:space="preserve">cantidad a revisar </v>
          </cell>
        </row>
      </sheetData>
      <sheetData sheetId="1"/>
      <sheetData sheetId="2"/>
    </sheetDataSet>
  </externalBook>
</externalLink>
</file>

<file path=xl/externalLinks/externalLink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010-03091</v>
          </cell>
          <cell r="C1" t="str">
            <v>junta de tapon principa cab de cil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44104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90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010-033121</v>
          </cell>
          <cell r="C1" t="str">
            <v>valvula de adm y escape  LL</v>
          </cell>
          <cell r="I1">
            <v>1</v>
          </cell>
        </row>
        <row r="2">
          <cell r="I2">
            <v>1</v>
          </cell>
        </row>
        <row r="5">
          <cell r="A5">
            <v>44041</v>
          </cell>
        </row>
        <row r="6">
          <cell r="A6">
            <v>44043</v>
          </cell>
        </row>
        <row r="7">
          <cell r="A7">
            <v>44055</v>
          </cell>
        </row>
        <row r="8">
          <cell r="A8">
            <v>44076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214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010-03130</v>
          </cell>
          <cell r="C1" t="str">
            <v>platillo porta resorte 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44092</v>
          </cell>
        </row>
        <row r="7">
          <cell r="A7">
            <v>44094</v>
          </cell>
        </row>
        <row r="8">
          <cell r="A8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39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010-06067</v>
          </cell>
          <cell r="C1" t="str">
            <v>resorte de valvula esferica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23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012-03129</v>
          </cell>
          <cell r="C1" t="str">
            <v>resorte exterior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>
            <v>44088</v>
          </cell>
        </row>
        <row r="8">
          <cell r="A8">
            <v>44092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012-03219</v>
          </cell>
          <cell r="C1" t="str">
            <v>resorte interior de valvula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44104</v>
          </cell>
        </row>
        <row r="7">
          <cell r="A7">
            <v>1409</v>
          </cell>
        </row>
        <row r="8">
          <cell r="A8">
            <v>44092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021-00112</v>
          </cell>
          <cell r="C1" t="str">
            <v>disco del respiradero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43</v>
          </cell>
          <cell r="H22">
            <v>40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023-00472</v>
          </cell>
          <cell r="C1" t="str">
            <v>tornillo de union- negro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44086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023-00792</v>
          </cell>
          <cell r="C1" t="str">
            <v>tobera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026-00098</v>
          </cell>
          <cell r="C1" t="str">
            <v>tornillo registro de valv.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>
            <v>44082</v>
          </cell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16</v>
          </cell>
          <cell r="H22">
            <v>60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026-00112</v>
          </cell>
          <cell r="C1" t="str">
            <v>junta puerta de cilindro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44077</v>
          </cell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80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026-00128</v>
          </cell>
          <cell r="C1" t="str">
            <v>botador de admision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026-00128</v>
          </cell>
          <cell r="C1" t="str">
            <v>botador de admision LL</v>
          </cell>
          <cell r="I1">
            <v>1</v>
          </cell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6</v>
          </cell>
        </row>
      </sheetData>
      <sheetData sheetId="1"/>
      <sheetData sheetId="2"/>
    </sheetDataSet>
  </externalBook>
</externalLink>
</file>

<file path=xl/externalLinks/externalLink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027-00130</v>
          </cell>
          <cell r="C1" t="str">
            <v>pasador conico para engranaje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027-00132</v>
          </cell>
          <cell r="C1" t="str">
            <v>pasador conico para palanca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43996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65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027-00358</v>
          </cell>
          <cell r="C1" t="str">
            <v>chaveta media luna para piñon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027-00367</v>
          </cell>
          <cell r="C1" t="str">
            <v>pasador conico para levas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027-00606B</v>
          </cell>
          <cell r="C1" t="str">
            <v>grasera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30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027-00714</v>
          </cell>
          <cell r="C1" t="str">
            <v>tuerca de registro 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15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027-00768</v>
          </cell>
          <cell r="C1" t="str">
            <v>tapon de expansion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>
            <v>44088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36</v>
          </cell>
          <cell r="H22">
            <v>65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027-04356</v>
          </cell>
          <cell r="C1" t="str">
            <v>tuerca autoblocante de biela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44088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027-06874I</v>
          </cell>
          <cell r="C1" t="str">
            <v xml:space="preserve">varilla de aciete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44102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027-07711I</v>
          </cell>
          <cell r="C1" t="str">
            <v>varilla de aciete  LV/LT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027-077878A</v>
          </cell>
          <cell r="C1" t="str">
            <v>tapa de radiador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5</v>
          </cell>
        </row>
        <row r="23">
          <cell r="A23" t="str">
            <v xml:space="preserve">ver aplicación </v>
          </cell>
        </row>
      </sheetData>
      <sheetData sheetId="1"/>
      <sheetData sheetId="2"/>
    </sheetDataSet>
  </externalBook>
</externalLink>
</file>

<file path=xl/externalLinks/externalLink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027-08796I</v>
          </cell>
          <cell r="C1" t="str">
            <v>jgo reparacion bba combust Pienne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027-08797I</v>
          </cell>
          <cell r="C1" t="str">
            <v>jgo reparacion bba combust Pienne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027-10041I</v>
          </cell>
          <cell r="C1" t="str">
            <v>jgo reparacion bba combust TR/LPW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44060</v>
          </cell>
        </row>
        <row r="7">
          <cell r="A7" t="str">
            <v>28/09/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079-00192</v>
          </cell>
          <cell r="C1" t="str">
            <v>resorte del regulador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96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1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201-10721I</v>
          </cell>
          <cell r="C1" t="str">
            <v>eje de contropesos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201-13118I</v>
          </cell>
          <cell r="C1" t="str">
            <v>filtro de combustible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201-30040A</v>
          </cell>
          <cell r="C1" t="str">
            <v>valvula de admision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201-30051A</v>
          </cell>
          <cell r="C1" t="str">
            <v>valvula de escape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201-30080I</v>
          </cell>
          <cell r="C1" t="str">
            <v>resorte de valvula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201-30100I</v>
          </cell>
          <cell r="C1" t="str">
            <v>varilla de empuje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201-30110I</v>
          </cell>
          <cell r="C1" t="str">
            <v>tornillo registro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201-31160I</v>
          </cell>
          <cell r="C1" t="str">
            <v>perno del resorte de velocidad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201-30150I</v>
          </cell>
          <cell r="C1" t="str">
            <v>tubo de varilla empuje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201-30171A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201-30171I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201-30117A</v>
          </cell>
          <cell r="C1" t="str">
            <v>guia de 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201-30181I</v>
          </cell>
          <cell r="C1" t="str">
            <v>guia de valvula de admis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>
            <v>44116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201-30250I</v>
          </cell>
          <cell r="C1" t="str">
            <v>buje de arbol de levas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 t="str">
            <v xml:space="preserve"> 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201-30261I</v>
          </cell>
          <cell r="C1" t="str">
            <v>reten inferior tubo de var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24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201-30390I</v>
          </cell>
          <cell r="C1" t="str">
            <v>arandela de empuje  TS/TR DISCONTINUADA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201-30410I</v>
          </cell>
          <cell r="C1" t="str">
            <v>arandela de empuje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201-30461I</v>
          </cell>
          <cell r="C1" t="str">
            <v>palanca del descompresor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201-30550I</v>
          </cell>
          <cell r="C1" t="str">
            <v>varilla de empuje de bba de combustible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201-30612A</v>
          </cell>
          <cell r="C1" t="str">
            <v>junta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37</v>
          </cell>
        </row>
        <row r="23">
          <cell r="A23" t="str">
            <v xml:space="preserve"> (7 son  I de desarme )</v>
          </cell>
        </row>
      </sheetData>
      <sheetData sheetId="1"/>
      <sheetData sheetId="2"/>
    </sheetDataSet>
  </externalBook>
</externalLink>
</file>

<file path=xl/externalLinks/externalLink1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201-30630I</v>
          </cell>
          <cell r="C1" t="str">
            <v>tornillo de localiz. botador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201-30640I</v>
          </cell>
          <cell r="C1" t="str">
            <v>eje de balancín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201-30650I</v>
          </cell>
          <cell r="C1" t="str">
            <v>balancin   TS/TR con buje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201-30670I</v>
          </cell>
          <cell r="C1" t="str">
            <v>RULEMAN ARB. DE LEVAS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201-30681I</v>
          </cell>
          <cell r="C1" t="str">
            <v>suplemento de cubierta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201-30682I</v>
          </cell>
          <cell r="C1" t="str">
            <v>suplemento de cubierta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201-30690A</v>
          </cell>
          <cell r="C1" t="str">
            <v>reten extension cig. Lado distribucion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201-30690I</v>
          </cell>
          <cell r="C1" t="str">
            <v>reten extension cig. Lado distribucion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44060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201-30805A</v>
          </cell>
          <cell r="C1" t="str">
            <v>junta cubierta cabeza A 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116</v>
          </cell>
        </row>
        <row r="23">
          <cell r="A23" t="str">
            <v>estim  COMPRADO A GUARN 150 22-8-19</v>
          </cell>
        </row>
      </sheetData>
      <sheetData sheetId="1"/>
      <sheetData sheetId="2"/>
    </sheetDataSet>
  </externalBook>
</externalLink>
</file>

<file path=xl/externalLinks/externalLink1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201-30805I</v>
          </cell>
          <cell r="C1" t="str">
            <v>junta cubierta cabeza I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DE DESARME</v>
          </cell>
        </row>
      </sheetData>
      <sheetData sheetId="1"/>
      <sheetData sheetId="2"/>
    </sheetDataSet>
  </externalBook>
</externalLink>
</file>

<file path=xl/externalLinks/externalLink1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201-30943I</v>
          </cell>
          <cell r="C1" t="str">
            <v>suplem soporte de bcada 0,127mm 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201-30944I</v>
          </cell>
          <cell r="C1" t="str">
            <v>suplem soporte de bcada 0,127mm 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201-30990 I</v>
          </cell>
          <cell r="C1" t="str">
            <v xml:space="preserve">esparrago de cbza I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 201-31141 I</v>
          </cell>
          <cell r="C1" t="str">
            <v>perno reg.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201-31160I</v>
          </cell>
          <cell r="C1" t="str">
            <v>conjunto palanca del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201-31240I</v>
          </cell>
          <cell r="C1" t="str">
            <v>perno de resorte de veloc.I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201-31305I    VER 201-48540</v>
          </cell>
          <cell r="C1" t="str">
            <v>bomba inyectora TR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REEMPLAZADA POR 201-48540</v>
          </cell>
        </row>
      </sheetData>
      <sheetData sheetId="1"/>
      <sheetData sheetId="2"/>
    </sheetDataSet>
  </externalBook>
</externalLink>
</file>

<file path=xl/externalLinks/externalLink1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201-31312I</v>
          </cell>
          <cell r="C1" t="str">
            <v>resorte retorno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201-31340I</v>
          </cell>
          <cell r="C1" t="str">
            <v>resorte de palanca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201-31364I</v>
          </cell>
          <cell r="C1" t="str">
            <v>resorte de velocidad del regulador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201-31381I</v>
          </cell>
          <cell r="C1" t="str">
            <v>placa de retencion de parada manual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201-31460A</v>
          </cell>
          <cell r="C1" t="str">
            <v xml:space="preserve"> o'ring eje de  balancín 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201-31460I</v>
          </cell>
          <cell r="C1" t="str">
            <v>o´ring de eje de balancin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201-31474A</v>
          </cell>
          <cell r="C1" t="str">
            <v>caño del inyector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1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201-32430A</v>
          </cell>
          <cell r="C1" t="str">
            <v>suplemento cab de cilindro A 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92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1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201-32430I</v>
          </cell>
          <cell r="C1" t="str">
            <v>suplemento cab de cilindro I-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más  uno muestra importado</v>
          </cell>
        </row>
      </sheetData>
      <sheetData sheetId="1"/>
      <sheetData sheetId="2"/>
    </sheetDataSet>
  </externalBook>
</externalLink>
</file>

<file path=xl/externalLinks/externalLink1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201-32740I</v>
          </cell>
          <cell r="C1" t="str">
            <v>reten I-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1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201-32804I</v>
          </cell>
          <cell r="C1" t="str">
            <v>cilindro 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1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201-33011I</v>
          </cell>
          <cell r="C1" t="str">
            <v>junta cubierta extremo . I-TS/TR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ver aplicación</v>
          </cell>
        </row>
      </sheetData>
      <sheetData sheetId="1"/>
      <sheetData sheetId="2"/>
    </sheetDataSet>
  </externalBook>
</externalLink>
</file>

<file path=xl/externalLinks/externalLink1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201-33070I</v>
          </cell>
          <cell r="C1" t="str">
            <v>valvula de admision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44116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201-33080I</v>
          </cell>
          <cell r="C1" t="str">
            <v>valvula de escape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201-33100I</v>
          </cell>
          <cell r="C1" t="str">
            <v>suplemento de cabeza - fino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130</v>
          </cell>
        </row>
        <row r="23">
          <cell r="A23" t="str">
            <v>(BUENA MAS OXIDADAS)</v>
          </cell>
        </row>
      </sheetData>
      <sheetData sheetId="1"/>
      <sheetData sheetId="2"/>
    </sheetDataSet>
  </externalBook>
</externalLink>
</file>

<file path=xl/externalLinks/externalLink1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201-33101I</v>
          </cell>
          <cell r="C1" t="str">
            <v>suplemento de cabeza - grueso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19</v>
          </cell>
        </row>
        <row r="23">
          <cell r="A23" t="str">
            <v>**(BUENAS 16 + 3 OXIDADAS)</v>
          </cell>
        </row>
      </sheetData>
      <sheetData sheetId="1"/>
      <sheetData sheetId="2"/>
    </sheetDataSet>
  </externalBook>
</externalLink>
</file>

<file path=xl/externalLinks/externalLink1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201-33110I</v>
          </cell>
          <cell r="C1" t="str">
            <v>junta  de cabeza - grueso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 t="str">
            <v>DIEZ DE DESARME</v>
          </cell>
        </row>
      </sheetData>
      <sheetData sheetId="1"/>
      <sheetData sheetId="2"/>
    </sheetDataSet>
  </externalBook>
</externalLink>
</file>

<file path=xl/externalLinks/externalLink1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201-33420I</v>
          </cell>
          <cell r="C1" t="str">
            <v>junta  de multiple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201-37291I</v>
          </cell>
          <cell r="C1" t="str">
            <v>perilla del control de parada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201-37630I</v>
          </cell>
          <cell r="C1" t="str">
            <v>reten de valvula de admis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201-37660I</v>
          </cell>
          <cell r="C1" t="str">
            <v>piñon del cigüeñal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44135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stock sj</v>
          </cell>
        </row>
      </sheetData>
      <sheetData sheetId="1"/>
      <sheetData sheetId="2"/>
    </sheetDataSet>
  </externalBook>
</externalLink>
</file>

<file path=xl/externalLinks/externalLink1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201-37751A</v>
          </cell>
          <cell r="C1" t="str">
            <v>junta carter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38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201-37751A</v>
          </cell>
          <cell r="C1" t="str">
            <v>junta carter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38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201-38010I</v>
          </cell>
          <cell r="C1" t="str">
            <v>resorte de parada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201-39520I</v>
          </cell>
          <cell r="C1" t="str">
            <v>reten valvula de escape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201-39701I</v>
          </cell>
          <cell r="C1" t="str">
            <v>junta puerta de bomba 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201-39701I</v>
          </cell>
          <cell r="C1" t="str">
            <v>junta puerta de bomba  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201-41940I</v>
          </cell>
          <cell r="C1" t="str">
            <v>reten bancada ppal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201-41940I</v>
          </cell>
          <cell r="C1" t="str">
            <v>reten bancada ppal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201-41950I</v>
          </cell>
          <cell r="C1" t="str">
            <v>buje de biela ST/TS/TR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44060</v>
          </cell>
        </row>
        <row r="8">
          <cell r="A8">
            <v>44096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201-41980I</v>
          </cell>
          <cell r="C1" t="str">
            <v>resorte interior de veloc. Build 08  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201-42360I</v>
          </cell>
          <cell r="C1" t="str">
            <v>reten superior tubo de var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18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201-42530I</v>
          </cell>
          <cell r="C1" t="str">
            <v>conjunto parada del regul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201-42900I</v>
          </cell>
          <cell r="C1" t="str">
            <v>manquito del regul  TS/TR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201-44950A</v>
          </cell>
          <cell r="C1" t="str">
            <v>buje de biela ST/TS/TR1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95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201-45070I</v>
          </cell>
          <cell r="C1" t="str">
            <v>arandela de inyector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201-45961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201-45962I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201-45963I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201-45964I</v>
          </cell>
          <cell r="C1" t="str">
            <v>suplemento bba inyect.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201-46298I</v>
          </cell>
          <cell r="C1" t="str">
            <v>bomba elevadora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44068</v>
          </cell>
        </row>
        <row r="8">
          <cell r="A8">
            <v>44102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201-47062I</v>
          </cell>
          <cell r="C1" t="str">
            <v>tobera 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44103</v>
          </cell>
        </row>
        <row r="8">
          <cell r="A8">
            <v>44060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3</v>
          </cell>
        </row>
        <row r="23">
          <cell r="A23" t="str">
            <v>a confirma mas origen B</v>
          </cell>
        </row>
      </sheetData>
      <sheetData sheetId="1"/>
      <sheetData sheetId="2"/>
    </sheetDataSet>
  </externalBook>
</externalLink>
</file>

<file path=xl/externalLinks/externalLink1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201-47092I</v>
          </cell>
          <cell r="C1" t="str">
            <v>tobera TS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1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201-48530I</v>
          </cell>
          <cell r="C1" t="str">
            <v>Inyector TR  ultima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44077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 t="str">
            <v>confirmar cantidad</v>
          </cell>
        </row>
      </sheetData>
      <sheetData sheetId="1"/>
      <sheetData sheetId="2"/>
    </sheetDataSet>
  </externalBook>
</externalLink>
</file>

<file path=xl/externalLinks/externalLink1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201-48540I</v>
          </cell>
          <cell r="C1" t="str">
            <v>inyector  TR  ultima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>
            <v>4325370</v>
          </cell>
          <cell r="C1" t="str">
            <v>bomba inyectora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44089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201-55370A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44050</v>
          </cell>
        </row>
        <row r="8">
          <cell r="A8">
            <v>44060</v>
          </cell>
        </row>
        <row r="9">
          <cell r="A9">
            <v>44076</v>
          </cell>
        </row>
        <row r="10">
          <cell r="A10">
            <v>44113</v>
          </cell>
        </row>
        <row r="11">
          <cell r="A11">
            <v>44115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 AB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 t="str">
            <v>codigo Baldwin BT223</v>
          </cell>
        </row>
      </sheetData>
      <sheetData sheetId="1"/>
      <sheetData sheetId="2"/>
    </sheetDataSet>
  </externalBook>
</externalLink>
</file>

<file path=xl/externalLinks/externalLink1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201-55370l</v>
          </cell>
          <cell r="C1" t="str">
            <v>filtro de aceite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44072</v>
          </cell>
        </row>
        <row r="7">
          <cell r="A7">
            <v>44077</v>
          </cell>
        </row>
        <row r="8">
          <cell r="A8">
            <v>44077</v>
          </cell>
        </row>
        <row r="9">
          <cell r="A9">
            <v>44135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19</v>
          </cell>
        </row>
        <row r="23">
          <cell r="A23" t="str">
            <v>ojo  ver venta a quimaite   fueron  A o I  ?   -   fc 3051 pedido 21670</v>
          </cell>
        </row>
      </sheetData>
      <sheetData sheetId="1"/>
      <sheetData sheetId="2"/>
    </sheetDataSet>
  </externalBook>
</externalLink>
</file>

<file path=xl/externalLinks/externalLink1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1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201-80157A020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201-80157A040</v>
          </cell>
          <cell r="C1" t="str">
            <v>piston desnudo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201-80230I</v>
          </cell>
          <cell r="C1" t="str">
            <v>platillo de valvula  TSTR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1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201-80265 </v>
          </cell>
          <cell r="C1" t="str">
            <v>inyector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44089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8   47092B</v>
          </cell>
        </row>
      </sheetData>
      <sheetData sheetId="1"/>
      <sheetData sheetId="2"/>
    </sheetDataSet>
  </externalBook>
</externalLink>
</file>

<file path=xl/externalLinks/externalLink1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201-81393I</v>
          </cell>
          <cell r="C1" t="str">
            <v>tobera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44089</v>
          </cell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 xml:space="preserve">confirmar cantidad.     Luis scassi ofrece stock que tiene ex Tandanor </v>
          </cell>
        </row>
      </sheetData>
      <sheetData sheetId="1"/>
      <sheetData sheetId="2"/>
    </sheetDataSet>
  </externalBook>
</externalLink>
</file>

<file path=xl/externalLinks/externalLink1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201-81395I</v>
          </cell>
          <cell r="C1" t="str">
            <v>tobera TS  1RA SERIE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44089</v>
          </cell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mas 2  81395B</v>
          </cell>
        </row>
      </sheetData>
      <sheetData sheetId="1"/>
      <sheetData sheetId="2"/>
    </sheetDataSet>
  </externalBook>
</externalLink>
</file>

<file path=xl/externalLinks/externalLink1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202-33540I </v>
          </cell>
          <cell r="C1" t="str">
            <v xml:space="preserve">turbina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 t="str">
            <v xml:space="preserve"> </v>
          </cell>
        </row>
        <row r="7">
          <cell r="A7" t="str">
            <v xml:space="preserve"> 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202-41270I</v>
          </cell>
          <cell r="C1" t="str">
            <v>tapa extremo caño de reboce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2</v>
          </cell>
        </row>
        <row r="23">
          <cell r="A23" t="str">
            <v>mas 2  81395B</v>
          </cell>
        </row>
      </sheetData>
      <sheetData sheetId="1"/>
      <sheetData sheetId="2"/>
    </sheetDataSet>
  </externalBook>
</externalLink>
</file>

<file path=xl/externalLinks/externalLink1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2042480I</v>
          </cell>
          <cell r="C1" t="str">
            <v>caño reboce  TS/TR1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44076</v>
          </cell>
        </row>
        <row r="8">
          <cell r="A8">
            <v>44109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0</v>
          </cell>
        </row>
        <row r="23">
          <cell r="A23" t="str">
            <v>hay dos mas originales</v>
          </cell>
        </row>
      </sheetData>
      <sheetData sheetId="1"/>
      <sheetData sheetId="2"/>
    </sheetDataSet>
  </externalBook>
</externalLink>
</file>

<file path=xl/externalLinks/externalLink1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203-11421</v>
          </cell>
          <cell r="C1" t="str">
            <v>filtro de aire por baño de aceite LL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>
            <v>44098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1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751-10620A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44098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1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328-21600I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44098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14</v>
          </cell>
          <cell r="H22">
            <v>9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2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3462-027</v>
          </cell>
          <cell r="C1" t="str">
            <v>carbon 35x20x10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4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3462-029</v>
          </cell>
          <cell r="C1" t="str">
            <v>carbon 35x25x10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44063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8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3462-031</v>
          </cell>
          <cell r="C1" t="str">
            <v>carbon 35x40x10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16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3463-148/32</v>
          </cell>
          <cell r="C1" t="str">
            <v>disyuntor 32v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3463-158</v>
          </cell>
          <cell r="C1" t="str">
            <v>resistencia 32v reg carga bateria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3463-158</v>
          </cell>
          <cell r="C1" t="str">
            <v>resistencia 220v reg cte.alt.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351-29760A</v>
          </cell>
          <cell r="C1" t="str">
            <v>filtro de gas oil  ST2/3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25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366-06227I</v>
          </cell>
          <cell r="C1" t="str">
            <v>elemento filro de aire  ST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externalLinks/externalLink2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366-07188A</v>
          </cell>
          <cell r="C1" t="str">
            <v>elemento filtro de aire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44077</v>
          </cell>
        </row>
        <row r="8">
          <cell r="A8">
            <v>44050</v>
          </cell>
        </row>
        <row r="9">
          <cell r="A9">
            <v>44060</v>
          </cell>
        </row>
        <row r="10">
          <cell r="A10">
            <v>44077</v>
          </cell>
        </row>
        <row r="11">
          <cell r="A11">
            <v>44113</v>
          </cell>
        </row>
        <row r="12">
          <cell r="A12">
            <v>44115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27</v>
          </cell>
          <cell r="H22">
            <v>24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366-07188I</v>
          </cell>
          <cell r="C1" t="str">
            <v>elemento filtro de aire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366-07197I</v>
          </cell>
          <cell r="C1" t="str">
            <v>solenoide TS  TR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44068</v>
          </cell>
        </row>
        <row r="8">
          <cell r="A8">
            <v>44077</v>
          </cell>
        </row>
        <row r="9">
          <cell r="A9">
            <v>44060</v>
          </cell>
        </row>
        <row r="10">
          <cell r="A10">
            <v>44109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6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externalLinks/externalLink2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366-07723</v>
          </cell>
          <cell r="C1" t="str">
            <v>elemento filtro de aire TS/TR (alto)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mas 1 imp muestra</v>
          </cell>
        </row>
      </sheetData>
      <sheetData sheetId="1"/>
      <sheetData sheetId="2"/>
    </sheetDataSet>
  </externalBook>
</externalLink>
</file>

<file path=xl/externalLinks/externalLink2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382-08564I</v>
          </cell>
          <cell r="C1" t="str">
            <v>switch de temperatura TS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382-08919I</v>
          </cell>
          <cell r="C1" t="str">
            <v>altenador c.c.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570-12840I020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570-12840I040</v>
          </cell>
          <cell r="C1" t="str">
            <v>conjunto piston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44073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570-12910I010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44121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6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570-12910I020</v>
          </cell>
          <cell r="C1" t="str">
            <v>jgo de aros ST/TS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570-12960</v>
          </cell>
          <cell r="C1" t="str">
            <v>cojinete axial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50</v>
          </cell>
        </row>
        <row r="23">
          <cell r="A23" t="str">
            <v>revisar cant   - EXCEDENTE</v>
          </cell>
        </row>
      </sheetData>
      <sheetData sheetId="1"/>
      <sheetData sheetId="2"/>
    </sheetDataSet>
  </externalBook>
</externalLink>
</file>

<file path=xl/externalLinks/externalLink2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</v>
          </cell>
          <cell r="C1" t="str">
            <v>cojinete de bancada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570-12970I10</v>
          </cell>
          <cell r="C1" t="str">
            <v>cojinete de bancda -010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570-12970I20</v>
          </cell>
          <cell r="C1" t="str">
            <v>cojinete de bancda -020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570-12970I30</v>
          </cell>
          <cell r="C1" t="str">
            <v>cojinete de bancda -030 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</v>
          </cell>
          <cell r="C1" t="str">
            <v>cojinete de biela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570-12980I10</v>
          </cell>
          <cell r="C1" t="str">
            <v>cojinete de biela 010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570-12980I20</v>
          </cell>
          <cell r="C1" t="str">
            <v>cojinete de biela 020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570-12980I30</v>
          </cell>
          <cell r="C1" t="str">
            <v>cojinete de biela 030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570-12980I40</v>
          </cell>
          <cell r="C1" t="str">
            <v>cojinete de biela 040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</v>
          </cell>
          <cell r="C1" t="str">
            <v>cojinete central std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570-12990I10</v>
          </cell>
          <cell r="C1" t="str">
            <v>cojinete central -010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570-12990I20</v>
          </cell>
          <cell r="C1" t="str">
            <v>cojinete central -020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570-12990I30</v>
          </cell>
          <cell r="C1" t="str">
            <v>cojinete central -030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570-12990I40</v>
          </cell>
          <cell r="C1" t="str">
            <v>cojinete central -040  ST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</v>
          </cell>
          <cell r="C1" t="str">
            <v>cojinete de bcada lado engranajes TS/R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570-30010I025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570-30010I050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570-30010I100</v>
          </cell>
          <cell r="C1" t="str">
            <v>cojinete de bcada lado engranajes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>
            <v>44116</v>
          </cell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</v>
          </cell>
          <cell r="C1" t="str">
            <v>cojinete de bancada lado volante TS/TS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>
            <v>44116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1 muestra "B"</v>
          </cell>
        </row>
      </sheetData>
      <sheetData sheetId="1"/>
      <sheetData sheetId="2"/>
    </sheetDataSet>
  </externalBook>
</externalLink>
</file>

<file path=xl/externalLinks/externalLink2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570-30011I025,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>
            <v>44116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570-30011I050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haay 3 muestras "B"</v>
          </cell>
        </row>
      </sheetData>
      <sheetData sheetId="1"/>
      <sheetData sheetId="2"/>
    </sheetDataSet>
  </externalBook>
</externalLink>
</file>

<file path=xl/externalLinks/externalLink2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570-30011I100</v>
          </cell>
          <cell r="C1" t="str">
            <v>cojinete de bancada lado volante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570-30261I</v>
          </cell>
          <cell r="C1" t="str">
            <v>biela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stock  bielas ST modificadas  (se angosta el  pie y  corrige la posicion de las muescas de trabado)</v>
          </cell>
        </row>
      </sheetData>
      <sheetData sheetId="1"/>
      <sheetData sheetId="2"/>
    </sheetDataSet>
  </externalBook>
</externalLink>
</file>

<file path=xl/externalLinks/externalLink2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570-30641I</v>
          </cell>
          <cell r="C1" t="str">
            <v>manivela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570-30680I</v>
          </cell>
          <cell r="C1" t="str">
            <v>bomba de aceite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570-30770I</v>
          </cell>
          <cell r="C1" t="str">
            <v>boador con rodillo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570-31360I</v>
          </cell>
          <cell r="C1" t="str">
            <v>cojinete axial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44071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>
            <v>44116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570-31370I025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570-31370I050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570-31370I075</v>
          </cell>
          <cell r="C1" t="str">
            <v>cojinete de biela  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</v>
          </cell>
          <cell r="C1" t="str">
            <v>PISTON DESNUDO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570-33360AP20</v>
          </cell>
          <cell r="C1" t="str">
            <v>PISTON DESNUDO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570-33360AP40</v>
          </cell>
          <cell r="C1" t="str">
            <v>PISTON DESNUDO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570-33360APER</v>
          </cell>
          <cell r="C1" t="str">
            <v>perno de piston 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570-33360I025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570-33360I050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570-33360I100</v>
          </cell>
          <cell r="C1" t="str">
            <v>conjunto 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hay muestras "B" ver cant</v>
          </cell>
        </row>
      </sheetData>
      <sheetData sheetId="1"/>
      <sheetData sheetId="2"/>
    </sheetDataSet>
  </externalBook>
</externalLink>
</file>

<file path=xl/externalLinks/externalLink2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44115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>
            <v>44116</v>
          </cell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570-33370I025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570-33370I050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>
            <v>44116</v>
          </cell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570-33370I100</v>
          </cell>
          <cell r="C1" t="str">
            <v>juego de aros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570-34200I</v>
          </cell>
          <cell r="C1" t="str">
            <v>swich alta temperatura N/C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</v>
          </cell>
        </row>
        <row r="23">
          <cell r="A23" t="str">
            <v>hay opcion nacional que corta a menor temp</v>
          </cell>
        </row>
      </sheetData>
      <sheetData sheetId="1"/>
      <sheetData sheetId="2"/>
    </sheetDataSet>
  </externalBook>
</externalLink>
</file>

<file path=xl/externalLinks/externalLink2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570-35530</v>
          </cell>
          <cell r="C1" t="str">
            <v>conjunto cilindo-piston 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44045</v>
          </cell>
        </row>
        <row r="9">
          <cell r="A9">
            <v>44060</v>
          </cell>
        </row>
        <row r="10">
          <cell r="A10">
            <v>44096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570-36820I</v>
          </cell>
          <cell r="C1" t="str">
            <v>switch alta temperatura  TR N/A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574-10130B</v>
          </cell>
          <cell r="C1" t="str">
            <v>bomba de aceite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mas 61 B</v>
          </cell>
        </row>
      </sheetData>
      <sheetData sheetId="1"/>
      <sheetData sheetId="2"/>
    </sheetDataSet>
  </externalBook>
</externalLink>
</file>

<file path=xl/externalLinks/externalLink2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574-10130KR</v>
          </cell>
          <cell r="C1" t="str">
            <v>kit reparacion bba de aceite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 t="str">
            <v>mas 61 B</v>
          </cell>
        </row>
      </sheetData>
      <sheetData sheetId="1"/>
      <sheetData sheetId="2"/>
    </sheetDataSet>
  </externalBook>
</externalLink>
</file>

<file path=xl/externalLinks/externalLink2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574-10170B</v>
          </cell>
          <cell r="C1" t="str">
            <v>balancin con buje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44074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-2</v>
          </cell>
          <cell r="H22">
            <v>4</v>
          </cell>
        </row>
        <row r="23">
          <cell r="A23" t="str">
            <v>ver conjunto completos  y balancines ex CKD</v>
          </cell>
        </row>
      </sheetData>
      <sheetData sheetId="1"/>
      <sheetData sheetId="2"/>
    </sheetDataSet>
  </externalBook>
</externalLink>
</file>

<file path=xl/externalLinks/externalLink2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574-10200</v>
          </cell>
          <cell r="C1" t="str">
            <v>biela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ver usadas  si hay disponibles</v>
          </cell>
        </row>
      </sheetData>
      <sheetData sheetId="1"/>
      <sheetData sheetId="2"/>
    </sheetDataSet>
  </externalBook>
</externalLink>
</file>

<file path=xl/externalLinks/externalLink2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574-10320/010</v>
          </cell>
          <cell r="C1" t="str">
            <v xml:space="preserve"> cojinete de biela 010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 xml:space="preserve">mas 2 raros </v>
          </cell>
        </row>
      </sheetData>
      <sheetData sheetId="1"/>
      <sheetData sheetId="2"/>
    </sheetDataSet>
  </externalBook>
</externalLink>
</file>

<file path=xl/externalLinks/externalLink2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574-10320-020</v>
          </cell>
          <cell r="C1" t="str">
            <v xml:space="preserve"> cojinete de biela 020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mas 1 de taller </v>
          </cell>
        </row>
      </sheetData>
      <sheetData sheetId="1"/>
      <sheetData sheetId="2"/>
    </sheetDataSet>
  </externalBook>
</externalLink>
</file>

<file path=xl/externalLinks/externalLink2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574-10320-030</v>
          </cell>
          <cell r="C1" t="str">
            <v xml:space="preserve"> cojinete de biela 030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mas 4 de taller + 2 miba</v>
          </cell>
        </row>
      </sheetData>
      <sheetData sheetId="1"/>
      <sheetData sheetId="2"/>
    </sheetDataSet>
  </externalBook>
</externalLink>
</file>

<file path=xl/externalLinks/externalLink2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574-10320I40</v>
          </cell>
          <cell r="C1" t="str">
            <v xml:space="preserve"> cojinete de biela 040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</v>
          </cell>
          <cell r="C1" t="str">
            <v xml:space="preserve"> cojinete de biela std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44043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574-10320I10</v>
          </cell>
          <cell r="C1" t="str">
            <v xml:space="preserve"> cojinete de biela 010 RAL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574-10320I20</v>
          </cell>
          <cell r="C1" t="str">
            <v xml:space="preserve"> cojinete de biela 020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574-10320I30</v>
          </cell>
          <cell r="C1" t="str">
            <v xml:space="preserve"> cojinete de biela 030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574-10430 B</v>
          </cell>
          <cell r="C1" t="str">
            <v>palanca interior  LL (B)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139</v>
          </cell>
        </row>
        <row r="23">
          <cell r="A23" t="str">
            <v>mas 1 ind arg  (muestra)</v>
          </cell>
        </row>
      </sheetData>
      <sheetData sheetId="1"/>
      <sheetData sheetId="2"/>
    </sheetDataSet>
  </externalBook>
</externalLink>
</file>

<file path=xl/externalLinks/externalLink2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574-10950 B</v>
          </cell>
          <cell r="C1" t="str">
            <v>silenciador  LL (B)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>
            <v>44098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24/09son uno grande y dos chicos tipo carcaza de ST</v>
          </cell>
        </row>
      </sheetData>
      <sheetData sheetId="1"/>
      <sheetData sheetId="2"/>
    </sheetDataSet>
  </externalBook>
</externalLink>
</file>

<file path=xl/externalLinks/externalLink2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574-10990/020</v>
          </cell>
          <cell r="C1" t="str">
            <v>juego de aros 020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574-10990/040</v>
          </cell>
          <cell r="C1" t="str">
            <v>juego de aros 040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15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</v>
          </cell>
          <cell r="C1" t="str">
            <v>juego de aros std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44091</v>
          </cell>
        </row>
        <row r="7">
          <cell r="A7">
            <v>44089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574-10990/020 RAL</v>
          </cell>
          <cell r="C1" t="str">
            <v>juego de aros 020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574-10990/040 RAL</v>
          </cell>
          <cell r="C1" t="str">
            <v>juego de aros 040 RAL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</v>
          </cell>
        </row>
        <row r="23">
          <cell r="A23" t="str">
            <v>REVISAR CANT</v>
          </cell>
        </row>
      </sheetData>
      <sheetData sheetId="1"/>
      <sheetData sheetId="2"/>
    </sheetDataSet>
  </externalBook>
</externalLink>
</file>

<file path=xl/externalLinks/externalLink2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574-111090 B</v>
          </cell>
          <cell r="C1" t="str">
            <v>conjunto descompresor 16/2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574-11110</v>
          </cell>
          <cell r="C1" t="str">
            <v>cabeza de cilindro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con o sin gúias según pedido</v>
          </cell>
        </row>
      </sheetData>
      <sheetData sheetId="1"/>
      <sheetData sheetId="2"/>
    </sheetDataSet>
  </externalBook>
</externalLink>
</file>

<file path=xl/externalLinks/externalLink2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574-11330 B</v>
          </cell>
          <cell r="C1" t="str">
            <v>conjunto descompresor 8/1y 16/2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601-31350A</v>
          </cell>
          <cell r="C1" t="str">
            <v>filtro de aire LT/LV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6</v>
          </cell>
        </row>
        <row r="23">
          <cell r="A23" t="str">
            <v>hay  uno original - muestra</v>
          </cell>
        </row>
      </sheetData>
      <sheetData sheetId="1"/>
      <sheetData sheetId="2"/>
    </sheetDataSet>
  </externalBook>
</externalLink>
</file>

<file path=xl/externalLinks/externalLink2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601-54480I</v>
          </cell>
          <cell r="C1" t="str">
            <v>conjunto piston LV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6</v>
          </cell>
        </row>
        <row r="23">
          <cell r="A23" t="str">
            <v>hay  uno original - muestra</v>
          </cell>
        </row>
      </sheetData>
      <sheetData sheetId="1"/>
      <sheetData sheetId="2"/>
    </sheetDataSet>
  </externalBook>
</externalLink>
</file>

<file path=xl/externalLinks/externalLink2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602-41760A</v>
          </cell>
          <cell r="C1" t="str">
            <v>elem filtro aire con 5,25" con aletas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1</v>
          </cell>
        </row>
        <row r="11">
          <cell r="A11">
            <v>44098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sin aplicación - no hay pistones 010 en uso</v>
          </cell>
        </row>
      </sheetData>
      <sheetData sheetId="1"/>
      <sheetData sheetId="2"/>
    </sheetDataSet>
  </externalBook>
</externalLink>
</file>

<file path=xl/externalLinks/externalLink2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657-10400</v>
          </cell>
          <cell r="C1" t="str">
            <v>Jgo juntas desarb 8/1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>
            <v>44089</v>
          </cell>
        </row>
        <row r="8">
          <cell r="A8">
            <v>44122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657-10411</v>
          </cell>
          <cell r="C1" t="str">
            <v>Jgo juntas completo 8/1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44089</v>
          </cell>
        </row>
        <row r="7">
          <cell r="A7">
            <v>44089</v>
          </cell>
        </row>
        <row r="8">
          <cell r="A8" t="str">
            <v>fc 3042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9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657-19697I</v>
          </cell>
          <cell r="C1" t="str">
            <v>jgo juntas HR2  desc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657-19706I</v>
          </cell>
          <cell r="C1" t="str">
            <v>jgo juntas HR3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657-23503I</v>
          </cell>
          <cell r="C1" t="str">
            <v>jgo juntas ST1 desc.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44073</v>
          </cell>
        </row>
        <row r="8">
          <cell r="A8">
            <v>44121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657-23525I</v>
          </cell>
          <cell r="C1" t="str">
            <v>jgo juntas ST2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657-23543I</v>
          </cell>
          <cell r="C1" t="str">
            <v>jgo juntas ST3 desc.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2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657-235457I</v>
          </cell>
          <cell r="C1" t="str">
            <v>jgo juntas ST3 compl.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657-29461I</v>
          </cell>
          <cell r="C1" t="str">
            <v>jgo juntas LV1  descarb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657-33091I</v>
          </cell>
          <cell r="C1" t="str">
            <v>jgo juntas TR1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44071</v>
          </cell>
        </row>
        <row r="8">
          <cell r="A8">
            <v>44096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657-33091I</v>
          </cell>
          <cell r="C1" t="str">
            <v>jgo juntas TR1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657-33361</v>
          </cell>
          <cell r="C1" t="str">
            <v>jgo juntas TR2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657-33361</v>
          </cell>
          <cell r="C1" t="str">
            <v>jgo juntas TR2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657-33381</v>
          </cell>
          <cell r="C1" t="str">
            <v>jgo juntas TR3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657-33391I</v>
          </cell>
          <cell r="C1" t="str">
            <v>jgo juntas TR3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44068</v>
          </cell>
        </row>
        <row r="7">
          <cell r="A7">
            <v>44060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657-34231I</v>
          </cell>
          <cell r="C1" t="str">
            <v>jgo juntas LPW2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657-34241I</v>
          </cell>
          <cell r="C1" t="str">
            <v>jgo juntas LPW2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657-34251I</v>
          </cell>
          <cell r="C1" t="str">
            <v>jgo juntas LPW3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657-34261I</v>
          </cell>
          <cell r="C1" t="str">
            <v>jgo juntas LPW3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657-34271I</v>
          </cell>
          <cell r="C1" t="str">
            <v>jgo juntas LPW4 desc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657-34281I</v>
          </cell>
          <cell r="C1" t="str">
            <v>jgo juntas LPW4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44078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657-34281I</v>
          </cell>
          <cell r="C1" t="str">
            <v>jgo juntas LPW4 compl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660-10600</v>
          </cell>
          <cell r="C1" t="str">
            <v>junta de retencion bba iny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660-10910</v>
          </cell>
          <cell r="C1" t="str">
            <v>elemento de bba iny  LL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8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660-11050I</v>
          </cell>
          <cell r="C1" t="str">
            <v>valv.ret.bba.SR-ST-HA2/3-LT1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>
            <v>44089</v>
          </cell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660-13630I</v>
          </cell>
          <cell r="C1" t="str">
            <v>elemento bba. HR2/3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660-13640I</v>
          </cell>
          <cell r="C1" t="str">
            <v>valv.ret. bba. HR2/3-LT2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660-13760I</v>
          </cell>
          <cell r="C1" t="str">
            <v>elemento.bba.  ST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>
            <v>44089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luis scassi ofrece stock ex tandanor</v>
          </cell>
        </row>
      </sheetData>
      <sheetData sheetId="1"/>
      <sheetData sheetId="2"/>
    </sheetDataSet>
  </externalBook>
</externalLink>
</file>

<file path=xl/externalLinks/externalLink3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660-14260I</v>
          </cell>
          <cell r="C1" t="str">
            <v>elemento.bba. TS-TR -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>
            <v>44089</v>
          </cell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660-14270A</v>
          </cell>
          <cell r="C1" t="str">
            <v>valv.ret.bba. TS-TR -LV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>
            <v>44089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660-14270I</v>
          </cell>
          <cell r="C1" t="str">
            <v>valv.ret.bba. TS-TR -LV-LT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750-10152I</v>
          </cell>
          <cell r="C1" t="str">
            <v>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750-10430I</v>
          </cell>
          <cell r="C1" t="str">
            <v>luz indicadora I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750-10152I</v>
          </cell>
          <cell r="C1" t="str">
            <v>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750-10662I</v>
          </cell>
          <cell r="C1" t="str">
            <v>conj palanca velocidad varialble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750-10663I</v>
          </cell>
          <cell r="C1" t="str">
            <v>conj palanca veloc. Fija  LPW4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</v>
          </cell>
          <cell r="C1" t="str">
            <v>coj. Bancada lado volante LPW STD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 t="str">
            <v xml:space="preserve"> </v>
          </cell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750-11210I025</v>
          </cell>
          <cell r="C1" t="str">
            <v>coj. Bancada lado volante LPW-  I 025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750-11210I050</v>
          </cell>
          <cell r="C1" t="str">
            <v>coj. Bancada lado volante LPW  I  050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750-11210I075</v>
          </cell>
          <cell r="C1" t="str">
            <v>coj. Bancada lado volante LPW- I 075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750-11210I100</v>
          </cell>
          <cell r="C1" t="str">
            <v>coj. Bancada lado volante LPW I 100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750-11230I</v>
          </cell>
          <cell r="C1" t="str">
            <v>ki`t cojinetes axiales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 I</v>
          </cell>
          <cell r="C1" t="str">
            <v>coj. Bancada lado engranajes LPW   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750-11240I025</v>
          </cell>
          <cell r="C1" t="str">
            <v>coj. Bancada lado engranajes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43910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13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750-11240I050</v>
          </cell>
          <cell r="C1" t="str">
            <v>coj. Bancada lado engranajes LPW I 050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750-11240I100</v>
          </cell>
          <cell r="C1" t="str">
            <v>coj. Bancada lado engranajes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750-11230I</v>
          </cell>
          <cell r="C1" t="str">
            <v>kit cojintes axiales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</v>
          </cell>
          <cell r="C1" t="str">
            <v>cojinete central LPW  I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 t="str">
            <v xml:space="preserve"> </v>
          </cell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750-11250I025</v>
          </cell>
          <cell r="C1" t="str">
            <v>cojinete central LPW I 025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 050</v>
          </cell>
          <cell r="C1" t="str">
            <v xml:space="preserve">cojinete central LPW I 050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 t="str">
            <v xml:space="preserve"> 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750-11250I100</v>
          </cell>
          <cell r="C1" t="str">
            <v>cojinete central LPW I100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</v>
          </cell>
          <cell r="C1" t="str">
            <v>cojinete de biela l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44094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14</v>
          </cell>
          <cell r="H22">
            <v>-4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750-11260I025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750-11260I050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750-11260I100</v>
          </cell>
          <cell r="C1" t="str">
            <v>cojinete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750-11280I</v>
          </cell>
          <cell r="C1" t="str">
            <v>balancin de valvula con pivor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750-11320I</v>
          </cell>
          <cell r="C1" t="str">
            <v xml:space="preserve"> kit junta cabeza  LPA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750-11330I</v>
          </cell>
          <cell r="C1" t="str">
            <v>kit suplementos de bba inyectora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750-11340I</v>
          </cell>
          <cell r="C1" t="str">
            <v>kit tapones extremo a. levas 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750-11350I</v>
          </cell>
          <cell r="C1" t="str">
            <v>kit perno del regulad con reten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750-11371I</v>
          </cell>
          <cell r="C1" t="str">
            <v>kit cuadrante control de velocidad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750-11390I</v>
          </cell>
          <cell r="C1" t="str">
            <v>kit tapones de expansión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750-11401I</v>
          </cell>
          <cell r="C1" t="str">
            <v>jgo aros  1ra. serie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750-11401I025</v>
          </cell>
          <cell r="C1" t="str">
            <v>jgo aros  1ra. serie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750-11430I</v>
          </cell>
          <cell r="C1" t="str">
            <v>kit  palancas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750-11461I</v>
          </cell>
          <cell r="C1" t="str">
            <v>cjto cigüeñal  LPW4 (torn vol xx)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para tornillos de volante XXXXXXXXXXX</v>
          </cell>
        </row>
      </sheetData>
      <sheetData sheetId="1"/>
      <sheetData sheetId="2"/>
    </sheetDataSet>
  </externalBook>
</externalLink>
</file>

<file path=xl/externalLinks/externalLink3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750-11873I</v>
          </cell>
          <cell r="C1" t="str">
            <v>botador de bba inyctora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750-12021I</v>
          </cell>
          <cell r="C1" t="str">
            <v>bomb de aceite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750-12038I</v>
          </cell>
          <cell r="C1" t="str">
            <v>arbol de levas  LPW4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750-12432I</v>
          </cell>
          <cell r="C1" t="str">
            <v>motor de arranque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750-12930 I</v>
          </cell>
          <cell r="C1" t="str">
            <v xml:space="preserve"> SWITCH ALTA TEMP.  N  A *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 xml:space="preserve"> * INCLUYE 329-15140      PARA  BUILD  A27 Y A09 </v>
          </cell>
        </row>
      </sheetData>
      <sheetData sheetId="1"/>
      <sheetData sheetId="2"/>
    </sheetDataSet>
  </externalBook>
</externalLink>
</file>

<file path=xl/externalLinks/externalLink3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9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750-13120I025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750-13120I050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750-13120I100</v>
          </cell>
          <cell r="C1" t="str">
            <v>jgo de aros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750-14120I</v>
          </cell>
          <cell r="C1" t="str">
            <v>filtro de combustible completo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750-114150I</v>
          </cell>
          <cell r="C1" t="str">
            <v>arbol de levas LPW3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750-15330I</v>
          </cell>
          <cell r="C1" t="str">
            <v>alternador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750-40005 I</v>
          </cell>
          <cell r="C1" t="str">
            <v xml:space="preserve">conj. Pistón 1ra. Serie 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750-40005I025</v>
          </cell>
          <cell r="C1" t="str">
            <v>conjunto piston  1ra serie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750-40092I25 </v>
          </cell>
          <cell r="C1" t="str">
            <v>conj, pistón  I 25 LPWS</v>
          </cell>
          <cell r="I1"/>
        </row>
        <row r="2">
          <cell r="I2"/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750-40160I</v>
          </cell>
          <cell r="C1" t="str">
            <v>ventilador de radiador -rojo- LPW *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 xml:space="preserve">     * RAD  5 PALETAS   EMP 250 M ROJO</v>
          </cell>
        </row>
      </sheetData>
      <sheetData sheetId="1"/>
      <sheetData sheetId="2"/>
    </sheetDataSet>
  </externalBook>
</externalLink>
</file>

<file path=xl/externalLinks/externalLink3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750-40180I</v>
          </cell>
          <cell r="C1" t="str">
            <v>ventilador de rad -rojo-315mm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750-41610AP020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750-41610AP040</v>
          </cell>
          <cell r="C1" t="str">
            <v>piston A 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750-41610I025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44104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750-41610I50 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750-41610I100</v>
          </cell>
          <cell r="C1" t="str">
            <v>conjunto piston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750-42730I</v>
          </cell>
          <cell r="C1" t="str">
            <v>bba de agua 1ra. -turerca central-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750-42732I</v>
          </cell>
          <cell r="C1" t="str">
            <v>bba de agua 2a serie -3 tornillos-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* MODELO NUEVO</v>
          </cell>
        </row>
      </sheetData>
      <sheetData sheetId="1"/>
      <sheetData sheetId="2"/>
    </sheetDataSet>
  </externalBook>
</externalLink>
</file>

<file path=xl/externalLinks/externalLink3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751-10063I</v>
          </cell>
          <cell r="C1" t="str">
            <v>varilla de empuje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751-10103A</v>
          </cell>
          <cell r="C1" t="str">
            <v>junta de escape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141</v>
          </cell>
        </row>
        <row r="23">
          <cell r="A23" t="str">
            <v>hay 1 original de muestra</v>
          </cell>
        </row>
      </sheetData>
      <sheetData sheetId="1"/>
      <sheetData sheetId="2"/>
    </sheetDataSet>
  </externalBook>
</externalLink>
</file>

<file path=xl/externalLinks/externalLink3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751-10103I</v>
          </cell>
          <cell r="C1" t="str">
            <v>junta de escape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751-10121I</v>
          </cell>
          <cell r="C1" t="str">
            <v xml:space="preserve"> piñon del cigüeñal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751-10150I</v>
          </cell>
          <cell r="C1" t="str">
            <v>buje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30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751-10232I</v>
          </cell>
          <cell r="C1" t="str">
            <v>bulon de biela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751-10244I</v>
          </cell>
          <cell r="C1" t="str">
            <v>caño inyector lado volante y .. 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3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751-10288I</v>
          </cell>
          <cell r="C1" t="str">
            <v>manguito del regulador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751-10324I</v>
          </cell>
          <cell r="C1" t="str">
            <v>soporte de pivot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751-10330I</v>
          </cell>
          <cell r="C1" t="str">
            <v>resorte entre barra y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751-10390A</v>
          </cell>
          <cell r="C1" t="str">
            <v>reten caja de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751-10390I</v>
          </cell>
          <cell r="C1" t="str">
            <v>reten caja de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 xml:space="preserve">ver si son todos  Import </v>
          </cell>
        </row>
      </sheetData>
      <sheetData sheetId="1"/>
      <sheetData sheetId="2"/>
    </sheetDataSet>
  </externalBook>
</externalLink>
</file>

<file path=xl/externalLinks/externalLink3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751-10430A</v>
          </cell>
          <cell r="C1" t="str">
            <v>reten bcada lado volante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751-10430I</v>
          </cell>
          <cell r="C1" t="str">
            <v>reten bcada lado volante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751-10490I</v>
          </cell>
          <cell r="C1" t="str">
            <v>eje de localización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3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751-10520I</v>
          </cell>
          <cell r="C1" t="str">
            <v>corona de arranque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751-10580I</v>
          </cell>
          <cell r="C1" t="str">
            <v>brida de inyector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751-10620A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751-10620I</v>
          </cell>
          <cell r="C1" t="str">
            <v>filtro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751-10661I</v>
          </cell>
          <cell r="C1" t="str">
            <v>resorte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751-10672I</v>
          </cell>
          <cell r="C1" t="str">
            <v>platillo de valvula - superior-LPW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751-10903I</v>
          </cell>
          <cell r="C1" t="str">
            <v>guía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751-10913I</v>
          </cell>
          <cell r="C1" t="str">
            <v>platillo de valvula - inferior-LPW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751-10950I</v>
          </cell>
          <cell r="C1" t="str">
            <v>buje arbol levas - lado engranajes-LPW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751-10965I</v>
          </cell>
          <cell r="C1" t="str">
            <v>polea para alternador -dia 61,5mm-LPW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de recupero  -  sin valor contable</v>
          </cell>
        </row>
      </sheetData>
      <sheetData sheetId="1"/>
      <sheetData sheetId="2"/>
    </sheetDataSet>
  </externalBook>
</externalLink>
</file>

<file path=xl/externalLinks/externalLink4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751-11073A</v>
          </cell>
          <cell r="C1" t="str">
            <v>junta tapa de valvulas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8</v>
          </cell>
        </row>
        <row r="23">
          <cell r="A23" t="str">
            <v>hay 3  mas (I)</v>
          </cell>
        </row>
      </sheetData>
      <sheetData sheetId="1"/>
      <sheetData sheetId="2"/>
    </sheetDataSet>
  </externalBook>
</externalLink>
</file>

<file path=xl/externalLinks/externalLink4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751-11121A</v>
          </cell>
          <cell r="C1" t="str">
            <v>junta de admision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21</v>
          </cell>
        </row>
        <row r="23">
          <cell r="A23" t="str">
            <v>hay 4mas originales .- muestra</v>
          </cell>
        </row>
      </sheetData>
      <sheetData sheetId="1"/>
      <sheetData sheetId="2"/>
    </sheetDataSet>
  </externalBook>
</externalLink>
</file>

<file path=xl/externalLinks/externalLink4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751-11121I</v>
          </cell>
          <cell r="C1" t="str">
            <v>junta de admision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751-11222A</v>
          </cell>
          <cell r="C1" t="str">
            <v>junta tapa de engranajes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23</v>
          </cell>
        </row>
        <row r="23">
          <cell r="A23" t="str">
            <v>hay 3 mas origi. - muestra</v>
          </cell>
        </row>
      </sheetData>
      <sheetData sheetId="1"/>
      <sheetData sheetId="2"/>
    </sheetDataSet>
  </externalBook>
</externalLink>
</file>

<file path=xl/externalLinks/externalLink4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751-11222I</v>
          </cell>
          <cell r="C1" t="str">
            <v>junta tapa de engranajes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751-11280I</v>
          </cell>
          <cell r="C1" t="str">
            <v>resorte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751-11280I</v>
          </cell>
          <cell r="C1" t="str">
            <v>buje de cuadranate -LPW</v>
          </cell>
          <cell r="I1"/>
        </row>
        <row r="2">
          <cell r="I2">
            <v>2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751-11460I</v>
          </cell>
          <cell r="C1" t="str">
            <v>tuerca de brida de bomba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751-11722I</v>
          </cell>
          <cell r="C1" t="str">
            <v xml:space="preserve"> brida de bomba inyect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751-11730I</v>
          </cell>
          <cell r="C1" t="str">
            <v>botador hidraulico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751-11761A</v>
          </cell>
          <cell r="C1" t="str">
            <v xml:space="preserve"> junta de bomba alimentacion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86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751-11930I</v>
          </cell>
          <cell r="C1" t="str">
            <v xml:space="preserve"> suplemento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751-11932I</v>
          </cell>
          <cell r="C1" t="str">
            <v xml:space="preserve"> suplemento 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751-12198I</v>
          </cell>
          <cell r="C1" t="str">
            <v>contrapeso  1500/1800rpm -LPW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751-12320I</v>
          </cell>
          <cell r="C1" t="str">
            <v>valvula de admision -  LPA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751-12330I</v>
          </cell>
          <cell r="C1" t="str">
            <v>botador de bba de alimentacion 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751-12460I</v>
          </cell>
          <cell r="C1" t="str">
            <v>valvula de escape  -  LPA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751-12670I</v>
          </cell>
          <cell r="C1" t="str">
            <v>o´ring tapa de llenado de aceite-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751-12680I</v>
          </cell>
          <cell r="C1" t="str">
            <v>o´ring tuerca tapa de valvulas -  LP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751-12692I</v>
          </cell>
          <cell r="C1" t="str">
            <v>espaciador  -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751-12823I</v>
          </cell>
          <cell r="C1" t="str">
            <v>aro de empuje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751-12870I</v>
          </cell>
          <cell r="C1" t="str">
            <v>filtro de aceite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751-12894I</v>
          </cell>
          <cell r="C1" t="str">
            <v>esorte regulador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751-12971I</v>
          </cell>
          <cell r="C1" t="str">
            <v>perilla  y palanca de parada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751-12980I</v>
          </cell>
          <cell r="C1" t="str">
            <v>contrapeso 1500/1800 -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44116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6</v>
          </cell>
          <cell r="H22">
            <v>14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751-12983I</v>
          </cell>
          <cell r="C1" t="str">
            <v>contrapeso 1500/1800 -B27/81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751-13010I</v>
          </cell>
          <cell r="C1" t="str">
            <v>reten de eje pivot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751-13054I</v>
          </cell>
          <cell r="C1" t="str">
            <v>cuadrante control velocidad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3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751-13100I </v>
          </cell>
          <cell r="C1" t="str">
            <v>pieza T de retorno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 t="str">
            <v>31/0</v>
          </cell>
        </row>
        <row r="7">
          <cell r="A7">
            <v>44076</v>
          </cell>
        </row>
        <row r="8">
          <cell r="A8">
            <v>44103</v>
          </cell>
        </row>
        <row r="9">
          <cell r="A9">
            <v>44109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7</v>
          </cell>
          <cell r="H22">
            <v>1</v>
          </cell>
        </row>
        <row r="23">
          <cell r="A23" t="str">
            <v>hay 26 mas nacionals de lavaparabrisas  autom</v>
          </cell>
        </row>
      </sheetData>
      <sheetData sheetId="1"/>
      <sheetData sheetId="2"/>
    </sheetDataSet>
  </externalBook>
</externalLink>
</file>

<file path=xl/externalLinks/externalLink43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 xml:space="preserve">751-13130I </v>
          </cell>
          <cell r="C1" t="str">
            <v>arandela de empuje - acero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hay 29 mas nacionals de lavaparabrisas  autom</v>
          </cell>
        </row>
      </sheetData>
      <sheetData sheetId="1"/>
      <sheetData sheetId="2"/>
    </sheetDataSet>
  </externalBook>
</externalLink>
</file>

<file path=xl/externalLinks/externalLink43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751-13570I</v>
          </cell>
          <cell r="C1" t="str">
            <v>deflector de vastago de valvula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 xml:space="preserve">tipo capuchon. se reemplaza por 751-41701 que son de goma y resorte, pero pueden usarse </v>
          </cell>
        </row>
      </sheetData>
      <sheetData sheetId="1"/>
      <sheetData sheetId="2"/>
    </sheetDataSet>
  </externalBook>
</externalLink>
</file>

<file path=xl/externalLinks/externalLink44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751-13971I</v>
          </cell>
          <cell r="C1" t="str">
            <v>portacontrapesos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se reemplaza por 751-41701</v>
          </cell>
        </row>
      </sheetData>
      <sheetData sheetId="1"/>
      <sheetData sheetId="2"/>
    </sheetDataSet>
  </externalBook>
</externalLink>
</file>

<file path=xl/externalLinks/externalLink44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751-14730I</v>
          </cell>
          <cell r="C1" t="str">
            <v>esparrago traba de botador c/rodillo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de desarve - s/v contable</v>
          </cell>
        </row>
      </sheetData>
      <sheetData sheetId="1"/>
      <sheetData sheetId="2"/>
    </sheetDataSet>
  </externalBook>
</externalLink>
</file>

<file path=xl/externalLinks/externalLink44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751-14780I</v>
          </cell>
          <cell r="C1" t="str">
            <v>caño de inyector - lado engranajes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751-15043I</v>
          </cell>
          <cell r="C1" t="str">
            <v>placa base cuadrante de veloc.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4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751-15050I</v>
          </cell>
          <cell r="C1" t="str">
            <v>reten resorte del regulador.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se reemplaza por 751-41701</v>
          </cell>
        </row>
      </sheetData>
      <sheetData sheetId="1"/>
      <sheetData sheetId="2"/>
    </sheetDataSet>
  </externalBook>
</externalLink>
</file>

<file path=xl/externalLinks/externalLink44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751-15061I</v>
          </cell>
          <cell r="C1" t="str">
            <v>resorte de palanca.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4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751-15070I</v>
          </cell>
          <cell r="C1" t="str">
            <v xml:space="preserve"> pivot de palanca.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4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751-15201I</v>
          </cell>
          <cell r="C1" t="str">
            <v>placa marcha/parada con solenoide.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4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751-15360I</v>
          </cell>
          <cell r="C1" t="str">
            <v>buje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13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4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751-15430I</v>
          </cell>
          <cell r="C1" t="str">
            <v>arandela de empuje pivotante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751-15441I</v>
          </cell>
          <cell r="C1" t="str">
            <v>manguito de empuje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5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751-15460I</v>
          </cell>
          <cell r="C1" t="str">
            <v>contrapeso 3000/3600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5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751-15720I</v>
          </cell>
          <cell r="C1" t="str">
            <v>resorte de velocidad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 t="str">
            <v>antes 751-15060</v>
          </cell>
        </row>
      </sheetData>
      <sheetData sheetId="1"/>
      <sheetData sheetId="2"/>
    </sheetDataSet>
  </externalBook>
</externalLink>
</file>

<file path=xl/externalLinks/externalLink45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751-15871I</v>
          </cell>
          <cell r="C1" t="str">
            <v>tobera suelta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 t="str">
            <v>fuera de lista -queda para servicio interno -  vender solo inyector completo 751-19700</v>
          </cell>
        </row>
      </sheetData>
      <sheetData sheetId="1"/>
      <sheetData sheetId="2"/>
    </sheetDataSet>
  </externalBook>
</externalLink>
</file>

<file path=xl/externalLinks/externalLink45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751-16010I</v>
          </cell>
          <cell r="C1" t="str">
            <v>buje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751-16612I</v>
          </cell>
          <cell r="C1" t="str">
            <v>resorte del regulador 3000/3600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 t="str">
            <v>hay una mas "A" sacada de una conversion de velocidad en m paz</v>
          </cell>
        </row>
      </sheetData>
      <sheetData sheetId="1"/>
      <sheetData sheetId="2"/>
    </sheetDataSet>
  </externalBook>
</externalLink>
</file>

<file path=xl/externalLinks/externalLink45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751-16613I</v>
          </cell>
          <cell r="C1" t="str">
            <v>resorte del regulador 1500/18000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11</v>
          </cell>
        </row>
        <row r="23">
          <cell r="A23" t="str">
            <v>fuera de lista -queda para servicio interno -  vender solo inyector completo 751-19700</v>
          </cell>
        </row>
      </sheetData>
      <sheetData sheetId="1"/>
      <sheetData sheetId="2"/>
    </sheetDataSet>
  </externalBook>
</externalLink>
</file>

<file path=xl/externalLinks/externalLink45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751-17230I</v>
          </cell>
          <cell r="C1" t="str">
            <v>restrictor de admision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751-17800I</v>
          </cell>
          <cell r="C1" t="str">
            <v>porta contrapesos B10/38/83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5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751-17810A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46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751-17820A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2</v>
          </cell>
        </row>
        <row r="23">
          <cell r="A23" t="str">
            <v>4PK 878</v>
          </cell>
        </row>
      </sheetData>
      <sheetData sheetId="1"/>
      <sheetData sheetId="2"/>
    </sheetDataSet>
  </externalBook>
</externalLink>
</file>

<file path=xl/externalLinks/externalLink46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751-17820I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46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751-17830A</v>
          </cell>
          <cell r="C1" t="str">
            <v>correa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4PK</v>
          </cell>
        </row>
      </sheetData>
      <sheetData sheetId="1"/>
      <sheetData sheetId="2"/>
    </sheetDataSet>
  </externalBook>
</externalLink>
</file>

<file path=xl/externalLinks/externalLink46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751-18100A</v>
          </cell>
          <cell r="C1" t="str">
            <v>filtro de combustible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20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751-18100I</v>
          </cell>
          <cell r="C1" t="str">
            <v>filtro de combustible  ST/TS/TR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>
            <v>4</v>
          </cell>
        </row>
      </sheetData>
      <sheetData sheetId="1"/>
      <sheetData sheetId="2"/>
    </sheetDataSet>
  </externalBook>
</externalLink>
</file>

<file path=xl/externalLinks/externalLink46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751-18100A</v>
          </cell>
          <cell r="C1" t="str">
            <v>filtro de combustible  LPW-TR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>
            <v>44077</v>
          </cell>
        </row>
        <row r="8">
          <cell r="A8">
            <v>44050</v>
          </cell>
        </row>
        <row r="9">
          <cell r="A9">
            <v>44060</v>
          </cell>
        </row>
        <row r="10">
          <cell r="A10">
            <v>44076</v>
          </cell>
        </row>
        <row r="11">
          <cell r="A11">
            <v>44113</v>
          </cell>
        </row>
        <row r="12">
          <cell r="A12">
            <v>44115</v>
          </cell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-19</v>
          </cell>
          <cell r="H22">
            <v>93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6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751-18100I</v>
          </cell>
          <cell r="C1" t="str">
            <v>filtro de combustible  LPW-TR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44103</v>
          </cell>
        </row>
        <row r="7">
          <cell r="A7">
            <v>44098</v>
          </cell>
        </row>
        <row r="8">
          <cell r="A8">
            <v>44135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12</v>
          </cell>
          <cell r="H22">
            <v>1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46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751-18140I</v>
          </cell>
          <cell r="C1" t="str">
            <v>resorte de nivelacion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46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751-18290I</v>
          </cell>
          <cell r="C1" t="str">
            <v>pasador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12</v>
          </cell>
        </row>
        <row r="23">
          <cell r="A23" t="str">
            <v>Hay stock extra de AB  (baldwin)</v>
          </cell>
        </row>
      </sheetData>
      <sheetData sheetId="1"/>
      <sheetData sheetId="2"/>
    </sheetDataSet>
  </externalBook>
</externalLink>
</file>

<file path=xl/externalLinks/externalLink46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751-19700I</v>
          </cell>
          <cell r="C1" t="str">
            <v>inyector con tobera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>
            <v>44116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4</v>
          </cell>
          <cell r="H22">
            <v>15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751-40112I</v>
          </cell>
          <cell r="C1" t="str">
            <v>tapa del termostato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751-40173I</v>
          </cell>
          <cell r="C1" t="str">
            <v>bulon cabeza de cilindro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751-40184I</v>
          </cell>
          <cell r="C1" t="str">
            <v>bulon cab de cil  - posicion balancin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751-40192I</v>
          </cell>
          <cell r="C1" t="str">
            <v>tubo de varilla alzavalvula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751-40203R</v>
          </cell>
          <cell r="C1" t="str">
            <v>placa trasera de bba de agua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RECUPERADAS de bbas vendidas sin placa- sin valor contable - fueron otras 3 desde julio 20 a taller</v>
          </cell>
        </row>
      </sheetData>
      <sheetData sheetId="1"/>
      <sheetData sheetId="2"/>
    </sheetDataSet>
  </externalBook>
</externalLink>
</file>

<file path=xl/externalLinks/externalLink47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751-40211A</v>
          </cell>
          <cell r="C1" t="str">
            <v>junta  de bba de agua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44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751-40281A</v>
          </cell>
          <cell r="C1" t="str">
            <v>junta  de caja de termostato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10</v>
          </cell>
          <cell r="H22">
            <v>57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7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751-40450A</v>
          </cell>
          <cell r="C1" t="str">
            <v>junta  de placa de bba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 t="str">
            <v>mas 3 originales</v>
          </cell>
        </row>
      </sheetData>
      <sheetData sheetId="1"/>
      <sheetData sheetId="2"/>
    </sheetDataSet>
  </externalBook>
</externalLink>
</file>

<file path=xl/externalLinks/externalLink47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751-40521I</v>
          </cell>
          <cell r="C1" t="str">
            <v>tuerca de ventilador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recupueradas de ventiladores originales - sin valor contabl.</v>
          </cell>
        </row>
      </sheetData>
      <sheetData sheetId="1"/>
      <sheetData sheetId="2"/>
    </sheetDataSet>
  </externalBook>
</externalLink>
</file>

<file path=xl/externalLinks/externalLink47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751-40530I</v>
          </cell>
          <cell r="C1" t="str">
            <v>valvula de escape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3</v>
          </cell>
        </row>
        <row r="23">
          <cell r="A23" t="str">
            <v>mas  4 de muestras "B" KKT</v>
          </cell>
        </row>
      </sheetData>
      <sheetData sheetId="1"/>
      <sheetData sheetId="2"/>
    </sheetDataSet>
  </externalBook>
</externalLink>
</file>

<file path=xl/externalLinks/externalLink48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751-40550I</v>
          </cell>
          <cell r="C1" t="str">
            <v>valvula de adminsion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>
            <v>44103</v>
          </cell>
        </row>
        <row r="8">
          <cell r="A8">
            <v>44078</v>
          </cell>
        </row>
        <row r="9">
          <cell r="A9">
            <v>44116</v>
          </cell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3</v>
          </cell>
        </row>
        <row r="23">
          <cell r="A23" t="str">
            <v>mas  1 de muestras "B" KKT</v>
          </cell>
        </row>
      </sheetData>
      <sheetData sheetId="1"/>
      <sheetData sheetId="2"/>
    </sheetDataSet>
  </externalBook>
</externalLink>
</file>

<file path=xl/externalLinks/externalLink48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751-40551I</v>
          </cell>
          <cell r="C1" t="str">
            <v>valvula de admision - turbo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751-40630I</v>
          </cell>
          <cell r="C1" t="str">
            <v>junta asiento de inyector - LPWS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9</v>
          </cell>
        </row>
        <row r="23">
          <cell r="A23" t="str">
            <v>recuperadas de jgos de juntas - sin valor contable</v>
          </cell>
        </row>
      </sheetData>
      <sheetData sheetId="1"/>
      <sheetData sheetId="2"/>
    </sheetDataSet>
  </externalBook>
</externalLink>
</file>

<file path=xl/externalLinks/externalLink48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751-40671I</v>
          </cell>
          <cell r="C1" t="str">
            <v>bulon  cab.cil - posicion gancho de izaje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751-40860I</v>
          </cell>
          <cell r="C1" t="str">
            <v>bulon  cab.cil - posicion gancho de izaje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751-40892A</v>
          </cell>
          <cell r="C1" t="str">
            <v>termostato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751-40892I</v>
          </cell>
          <cell r="C1" t="str">
            <v>termostato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751-41190A</v>
          </cell>
          <cell r="C1" t="str">
            <v>ventilador 6 paletas  381mm - tuerca-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751-41322/323I</v>
          </cell>
          <cell r="C1" t="str">
            <v>bomba inyectora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8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8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751-41701I</v>
          </cell>
          <cell r="C1" t="str">
            <v>reten de valvula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15</v>
          </cell>
        </row>
        <row r="23">
          <cell r="A23" t="str">
            <v>goma y resorte.  Reemplaza  751-13570 tipo capuchon, (que tambien puede usarse)</v>
          </cell>
        </row>
      </sheetData>
      <sheetData sheetId="1"/>
      <sheetData sheetId="2"/>
    </sheetDataSet>
  </externalBook>
</externalLink>
</file>

<file path=xl/externalLinks/externalLink49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751-42670A020</v>
          </cell>
          <cell r="C1" t="str">
            <v>piston desnudo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751-42670A020</v>
          </cell>
          <cell r="C1" t="str">
            <v>piston desnudo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751-45740A</v>
          </cell>
          <cell r="C1" t="str">
            <v>ventilador 6 paletas - 3 tornillos -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44057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2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752-10802I</v>
          </cell>
          <cell r="C1" t="str">
            <v>junta de carter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752-15120I</v>
          </cell>
          <cell r="C1" t="str">
            <v>varilla medicion de aceite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752-40751I</v>
          </cell>
          <cell r="C1" t="str">
            <v>junta cabeza de cilindro   LPW2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44055</v>
          </cell>
        </row>
        <row r="7">
          <cell r="A7" t="str">
            <v>121/08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753-10802A</v>
          </cell>
          <cell r="C1" t="str">
            <v>junta puerta de carter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753-10802I</v>
          </cell>
          <cell r="C1" t="str">
            <v>junta de carter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753-17740I</v>
          </cell>
          <cell r="C1" t="str">
            <v>caño de combustible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49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753-40891A</v>
          </cell>
          <cell r="C1" t="str">
            <v>junta cabeza de cilindro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16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753-40891I</v>
          </cell>
          <cell r="C1" t="str">
            <v>junta cabeza de cilindro LPW3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44056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754-10615I</v>
          </cell>
          <cell r="C1" t="str">
            <v>colador de aceite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754-10802A</v>
          </cell>
          <cell r="C1" t="str">
            <v>junta puerta de carter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754-10802A</v>
          </cell>
          <cell r="C1" t="str">
            <v>junta puera de carter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754-10804I</v>
          </cell>
          <cell r="C1" t="str">
            <v>junta puera de carter LPWX4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45</v>
          </cell>
        </row>
        <row r="23">
          <cell r="A23" t="str">
            <v>de desarme de juego - sin valor contable.</v>
          </cell>
        </row>
      </sheetData>
      <sheetData sheetId="1"/>
      <sheetData sheetId="2"/>
    </sheetDataSet>
  </externalBook>
</externalLink>
</file>

<file path=xl/externalLinks/externalLink50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754-15120I</v>
          </cell>
          <cell r="C1" t="str">
            <v>varilla de medicion de aceite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754-15120I</v>
          </cell>
          <cell r="C1" t="str">
            <v>varella medic aceite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754-17740I</v>
          </cell>
          <cell r="C1" t="str">
            <v>caño filtro a bombas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754-40891A</v>
          </cell>
          <cell r="C1" t="str">
            <v>junta cabeza de cilindro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44073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5</v>
          </cell>
          <cell r="H22">
            <v>10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0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754-40891I</v>
          </cell>
          <cell r="C1" t="str">
            <v>junta cabeza de cilindro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44057</v>
          </cell>
        </row>
        <row r="7">
          <cell r="A7">
            <v>44078</v>
          </cell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3</v>
          </cell>
          <cell r="H22">
            <v>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754-42320I</v>
          </cell>
          <cell r="C1" t="str">
            <v>junta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754-42531I</v>
          </cell>
          <cell r="C1" t="str">
            <v>junta brida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754-42640I</v>
          </cell>
          <cell r="C1" t="str">
            <v>junta  turbo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20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754-43311I</v>
          </cell>
          <cell r="C1" t="str">
            <v>refrigerador de aceite   LPW4T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tomado de motores nuevos - sin valor contable</v>
          </cell>
        </row>
      </sheetData>
      <sheetData sheetId="1"/>
      <sheetData sheetId="2"/>
    </sheetDataSet>
  </externalBook>
</externalLink>
</file>

<file path=xl/externalLinks/externalLink5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754-43320I</v>
          </cell>
          <cell r="C1" t="str">
            <v>adaptador de filtro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754-44580I</v>
          </cell>
          <cell r="C1" t="str">
            <v>o´ring de refrigerador aceite 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754-44590I</v>
          </cell>
          <cell r="C1" t="str">
            <v>caños de refrig de aceite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757-10442I</v>
          </cell>
          <cell r="C1" t="str">
            <v>montante base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sobrante de motores provistos a trenes ba - sin valor contable</v>
          </cell>
        </row>
      </sheetData>
      <sheetData sheetId="1"/>
      <sheetData sheetId="2"/>
    </sheetDataSet>
  </externalBook>
</externalLink>
</file>

<file path=xl/externalLinks/externalLink5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757-10562I</v>
          </cell>
          <cell r="C1" t="str">
            <v>caño inferior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 t="str">
            <v>mal comprado - sin uso</v>
          </cell>
        </row>
      </sheetData>
      <sheetData sheetId="1"/>
      <sheetData sheetId="2"/>
    </sheetDataSet>
  </externalBook>
</externalLink>
</file>

<file path=xl/externalLinks/externalLink5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757-13121I</v>
          </cell>
          <cell r="C1" t="str">
            <v>caño "U" de filtro de aire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sobrante de motores TBA - sin valor contable</v>
          </cell>
        </row>
      </sheetData>
      <sheetData sheetId="1"/>
      <sheetData sheetId="2"/>
    </sheetDataSet>
  </externalBook>
</externalLink>
</file>

<file path=xl/externalLinks/externalLink5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757-13192I</v>
          </cell>
          <cell r="C1" t="str">
            <v>montante base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hay sobrante de motores TBA sin valor contable</v>
          </cell>
        </row>
      </sheetData>
      <sheetData sheetId="1"/>
      <sheetData sheetId="2"/>
    </sheetDataSet>
  </externalBook>
</externalLink>
</file>

<file path=xl/externalLinks/externalLink5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757-14175I</v>
          </cell>
          <cell r="C1" t="str">
            <v>bomba alimentacion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44135</v>
          </cell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</v>
          </cell>
          <cell r="H22">
            <v>7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757-14981I</v>
          </cell>
          <cell r="C1" t="str">
            <v>relay de arranque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757-15721I</v>
          </cell>
          <cell r="C1" t="str">
            <v>switch baja pres aceite vel variable 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757-16910I</v>
          </cell>
          <cell r="C1" t="str">
            <v>buje montante de radiador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4</v>
          </cell>
        </row>
        <row r="23">
          <cell r="A23" t="str">
            <v>sobrante de motores trenes ba - sin valor contable</v>
          </cell>
        </row>
      </sheetData>
      <sheetData sheetId="1"/>
      <sheetData sheetId="2"/>
    </sheetDataSet>
  </externalBook>
</externalLink>
</file>

<file path=xl/externalLinks/externalLink5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757-17420I</v>
          </cell>
          <cell r="C1" t="str">
            <v>espaciador de ventilador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 t="str">
            <v>sobrante de motores tba .sin valor contable</v>
          </cell>
        </row>
      </sheetData>
      <sheetData sheetId="1"/>
      <sheetData sheetId="2"/>
    </sheetDataSet>
  </externalBook>
</externalLink>
</file>

<file path=xl/externalLinks/externalLink5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757-18460I</v>
          </cell>
          <cell r="C1" t="str">
            <v>caño superior de radiador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ver costo breeza fans</v>
          </cell>
        </row>
      </sheetData>
      <sheetData sheetId="1"/>
      <sheetData sheetId="2"/>
    </sheetDataSet>
  </externalBook>
</externalLink>
</file>

<file path=xl/externalLinks/externalLink52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757-18811I</v>
          </cell>
          <cell r="C1" t="str">
            <v>caño de comb filtro a bombas  LPW4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5</v>
          </cell>
        </row>
        <row r="23">
          <cell r="A23" t="str">
            <v>a confirmar slock  10/2020</v>
          </cell>
        </row>
      </sheetData>
      <sheetData sheetId="1"/>
      <sheetData sheetId="2"/>
    </sheetDataSet>
  </externalBook>
</externalLink>
</file>

<file path=xl/externalLinks/externalLink52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757-20300I</v>
          </cell>
          <cell r="C1" t="str">
            <v>caño inferior de radiador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2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2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757-24700I</v>
          </cell>
          <cell r="C1" t="str">
            <v>varilla y soporte de solenoide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</v>
          </cell>
        </row>
        <row r="23">
          <cell r="A23"/>
        </row>
      </sheetData>
      <sheetData sheetId="1"/>
      <sheetData sheetId="2"/>
    </sheetDataSet>
  </externalBook>
</externalLink>
</file>

<file path=xl/externalLinks/externalLink53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757-26381I</v>
          </cell>
          <cell r="C1" t="str">
            <v>switch baja pres aciete- vel fija -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3</v>
          </cell>
        </row>
        <row r="23">
          <cell r="A23" t="str">
            <v>van en LPW  builds 09 y 27</v>
          </cell>
        </row>
      </sheetData>
      <sheetData sheetId="1"/>
      <sheetData sheetId="2"/>
    </sheetDataSet>
  </externalBook>
</externalLink>
</file>

<file path=xl/externalLinks/externalLink53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757-27890A</v>
          </cell>
          <cell r="C1" t="str">
            <v>elemento filtro de aire   LPW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>
            <v>44069</v>
          </cell>
        </row>
        <row r="7">
          <cell r="A7">
            <v>44069</v>
          </cell>
        </row>
        <row r="8">
          <cell r="A8">
            <v>44102</v>
          </cell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13</v>
          </cell>
          <cell r="H22">
            <v>13</v>
          </cell>
        </row>
        <row r="23">
          <cell r="A23" t="str">
            <v>codigo de lio  VR463</v>
          </cell>
        </row>
      </sheetData>
      <sheetData sheetId="1"/>
      <sheetData sheetId="2"/>
    </sheetDataSet>
  </externalBook>
</externalLink>
</file>

<file path=xl/externalLinks/externalLink53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Hoja2"/>
      <sheetName val="Hoja3"/>
    </sheetNames>
    <sheetDataSet>
      <sheetData sheetId="0">
        <row r="1">
          <cell r="A1" t="str">
            <v>757-32260I</v>
          </cell>
          <cell r="C1" t="str">
            <v>elemento filtro de aire  TR (alto)</v>
          </cell>
          <cell r="I1"/>
        </row>
        <row r="2">
          <cell r="I2">
            <v>1</v>
          </cell>
        </row>
        <row r="5">
          <cell r="A5">
            <v>44043</v>
          </cell>
        </row>
        <row r="6">
          <cell r="A6"/>
        </row>
        <row r="7">
          <cell r="A7"/>
        </row>
        <row r="8">
          <cell r="A8"/>
        </row>
        <row r="9">
          <cell r="A9"/>
        </row>
        <row r="10">
          <cell r="A10"/>
        </row>
        <row r="11">
          <cell r="A11"/>
        </row>
        <row r="12">
          <cell r="A12"/>
        </row>
        <row r="13">
          <cell r="A13"/>
        </row>
        <row r="14">
          <cell r="A14"/>
        </row>
        <row r="15">
          <cell r="A15"/>
        </row>
        <row r="16">
          <cell r="A16"/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  <cell r="E22">
            <v>0</v>
          </cell>
          <cell r="H22">
            <v>10</v>
          </cell>
        </row>
        <row r="23">
          <cell r="A23" t="str">
            <v>revisar codigo  - no aparece en manuales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23"/>
  <sheetViews>
    <sheetView zoomScale="80" zoomScaleNormal="80" workbookViewId="0">
      <selection activeCell="L10" sqref="L10:T10"/>
    </sheetView>
  </sheetViews>
  <sheetFormatPr baseColWidth="10" defaultRowHeight="14.25" x14ac:dyDescent="0.45"/>
  <cols>
    <col min="1" max="1" width="10.53125" style="19" customWidth="1"/>
    <col min="2" max="2" width="28" style="10" customWidth="1"/>
    <col min="3" max="8" width="6.53125" style="11" customWidth="1"/>
    <col min="9" max="9" width="7.6640625" style="11" customWidth="1"/>
  </cols>
  <sheetData>
    <row r="1" spans="1:9" s="21" customFormat="1" ht="17.45" customHeight="1" thickBot="1" x14ac:dyDescent="0.5">
      <c r="A1" s="46" t="s">
        <v>9</v>
      </c>
      <c r="B1" s="47"/>
      <c r="C1" s="50"/>
      <c r="D1" s="51"/>
      <c r="E1" s="51"/>
      <c r="F1" s="51"/>
      <c r="G1" s="51"/>
      <c r="H1" s="47"/>
      <c r="I1" s="20"/>
    </row>
    <row r="2" spans="1:9" s="21" customFormat="1" ht="15" customHeight="1" thickBot="1" x14ac:dyDescent="0.5">
      <c r="A2" s="48"/>
      <c r="B2" s="49"/>
      <c r="C2" s="48"/>
      <c r="D2" s="52"/>
      <c r="E2" s="52"/>
      <c r="F2" s="52"/>
      <c r="G2" s="52"/>
      <c r="H2" s="49"/>
      <c r="I2" s="2"/>
    </row>
    <row r="3" spans="1:9" s="1" customFormat="1" ht="14.65" thickBot="1" x14ac:dyDescent="0.5">
      <c r="A3" s="58" t="s">
        <v>0</v>
      </c>
      <c r="B3" s="58" t="s">
        <v>1</v>
      </c>
      <c r="C3" s="60" t="s">
        <v>2</v>
      </c>
      <c r="D3" s="61"/>
      <c r="E3" s="62"/>
      <c r="F3" s="60" t="s">
        <v>3</v>
      </c>
      <c r="G3" s="61"/>
      <c r="H3" s="62"/>
      <c r="I3" s="56" t="s">
        <v>4</v>
      </c>
    </row>
    <row r="4" spans="1:9" s="1" customFormat="1" ht="14.65" thickBot="1" x14ac:dyDescent="0.5">
      <c r="A4" s="59"/>
      <c r="B4" s="59"/>
      <c r="C4" s="16" t="s">
        <v>5</v>
      </c>
      <c r="D4" s="16" t="s">
        <v>6</v>
      </c>
      <c r="E4" s="16" t="s">
        <v>7</v>
      </c>
      <c r="F4" s="13" t="s">
        <v>8</v>
      </c>
      <c r="G4" s="13" t="s">
        <v>6</v>
      </c>
      <c r="H4" s="13" t="s">
        <v>7</v>
      </c>
      <c r="I4" s="57"/>
    </row>
    <row r="5" spans="1:9" x14ac:dyDescent="0.45">
      <c r="A5" s="17">
        <v>44043</v>
      </c>
      <c r="B5" s="30"/>
      <c r="C5" s="3"/>
      <c r="D5" s="4"/>
      <c r="E5" s="4">
        <v>0</v>
      </c>
      <c r="F5" s="4"/>
      <c r="G5" s="5"/>
      <c r="H5" s="5">
        <v>0</v>
      </c>
      <c r="I5" s="15">
        <f>E5+H5</f>
        <v>0</v>
      </c>
    </row>
    <row r="6" spans="1:9" x14ac:dyDescent="0.45">
      <c r="A6" s="22"/>
      <c r="B6" s="23"/>
      <c r="C6" s="24"/>
      <c r="D6" s="25"/>
      <c r="E6" s="26">
        <f>E5+C6-D6</f>
        <v>0</v>
      </c>
      <c r="F6" s="25"/>
      <c r="G6" s="27"/>
      <c r="H6" s="28">
        <f t="shared" ref="H6:H22" si="0">H5+F6-G6</f>
        <v>0</v>
      </c>
      <c r="I6" s="28">
        <f t="shared" ref="I6:I22" si="1">E6+H6</f>
        <v>0</v>
      </c>
    </row>
    <row r="7" spans="1:9" x14ac:dyDescent="0.45">
      <c r="A7" s="22"/>
      <c r="B7" s="29"/>
      <c r="C7" s="24"/>
      <c r="D7" s="25"/>
      <c r="E7" s="26">
        <f>E6+C7-D7</f>
        <v>0</v>
      </c>
      <c r="F7" s="25"/>
      <c r="G7" s="27"/>
      <c r="H7" s="28">
        <f t="shared" si="0"/>
        <v>0</v>
      </c>
      <c r="I7" s="28">
        <f t="shared" si="1"/>
        <v>0</v>
      </c>
    </row>
    <row r="8" spans="1:9" x14ac:dyDescent="0.45">
      <c r="A8" s="22"/>
      <c r="B8" s="23"/>
      <c r="C8" s="24"/>
      <c r="D8" s="25"/>
      <c r="E8" s="26">
        <f t="shared" ref="E8:E22" si="2">E7+C8-D8</f>
        <v>0</v>
      </c>
      <c r="F8" s="25"/>
      <c r="G8" s="27"/>
      <c r="H8" s="28">
        <f t="shared" si="0"/>
        <v>0</v>
      </c>
      <c r="I8" s="28">
        <f t="shared" si="1"/>
        <v>0</v>
      </c>
    </row>
    <row r="9" spans="1:9" x14ac:dyDescent="0.45">
      <c r="A9" s="22"/>
      <c r="B9" s="23"/>
      <c r="C9" s="24"/>
      <c r="D9" s="25"/>
      <c r="E9" s="26">
        <f t="shared" si="2"/>
        <v>0</v>
      </c>
      <c r="F9" s="25"/>
      <c r="G9" s="27"/>
      <c r="H9" s="28">
        <f t="shared" si="0"/>
        <v>0</v>
      </c>
      <c r="I9" s="28">
        <f t="shared" si="1"/>
        <v>0</v>
      </c>
    </row>
    <row r="10" spans="1:9" x14ac:dyDescent="0.45">
      <c r="A10" s="22"/>
      <c r="B10" s="23"/>
      <c r="C10" s="24"/>
      <c r="D10" s="25"/>
      <c r="E10" s="26">
        <f t="shared" si="2"/>
        <v>0</v>
      </c>
      <c r="F10" s="25"/>
      <c r="G10" s="27"/>
      <c r="H10" s="28">
        <f t="shared" si="0"/>
        <v>0</v>
      </c>
      <c r="I10" s="28">
        <f t="shared" si="1"/>
        <v>0</v>
      </c>
    </row>
    <row r="11" spans="1:9" x14ac:dyDescent="0.45">
      <c r="A11" s="22"/>
      <c r="B11" s="23"/>
      <c r="C11" s="24"/>
      <c r="D11" s="25"/>
      <c r="E11" s="26">
        <f t="shared" si="2"/>
        <v>0</v>
      </c>
      <c r="F11" s="25"/>
      <c r="G11" s="27"/>
      <c r="H11" s="28">
        <f t="shared" si="0"/>
        <v>0</v>
      </c>
      <c r="I11" s="28">
        <f t="shared" si="1"/>
        <v>0</v>
      </c>
    </row>
    <row r="12" spans="1:9" x14ac:dyDescent="0.45">
      <c r="A12" s="22"/>
      <c r="B12" s="23"/>
      <c r="C12" s="24"/>
      <c r="D12" s="25"/>
      <c r="E12" s="26">
        <f t="shared" si="2"/>
        <v>0</v>
      </c>
      <c r="F12" s="25"/>
      <c r="G12" s="27"/>
      <c r="H12" s="28">
        <f t="shared" si="0"/>
        <v>0</v>
      </c>
      <c r="I12" s="28">
        <f t="shared" si="1"/>
        <v>0</v>
      </c>
    </row>
    <row r="13" spans="1:9" x14ac:dyDescent="0.45">
      <c r="A13" s="22"/>
      <c r="B13" s="23"/>
      <c r="C13" s="24"/>
      <c r="D13" s="25"/>
      <c r="E13" s="26">
        <f t="shared" si="2"/>
        <v>0</v>
      </c>
      <c r="F13" s="25"/>
      <c r="G13" s="27"/>
      <c r="H13" s="28">
        <f t="shared" si="0"/>
        <v>0</v>
      </c>
      <c r="I13" s="28">
        <f t="shared" si="1"/>
        <v>0</v>
      </c>
    </row>
    <row r="14" spans="1:9" x14ac:dyDescent="0.45">
      <c r="A14" s="22"/>
      <c r="B14" s="23"/>
      <c r="C14" s="24"/>
      <c r="D14" s="25"/>
      <c r="E14" s="26">
        <f t="shared" si="2"/>
        <v>0</v>
      </c>
      <c r="F14" s="25"/>
      <c r="G14" s="27"/>
      <c r="H14" s="28">
        <f t="shared" si="0"/>
        <v>0</v>
      </c>
      <c r="I14" s="28">
        <f t="shared" si="1"/>
        <v>0</v>
      </c>
    </row>
    <row r="15" spans="1:9" x14ac:dyDescent="0.45">
      <c r="A15" s="22"/>
      <c r="B15" s="23"/>
      <c r="C15" s="24"/>
      <c r="D15" s="25"/>
      <c r="E15" s="26">
        <f t="shared" si="2"/>
        <v>0</v>
      </c>
      <c r="F15" s="25"/>
      <c r="G15" s="27"/>
      <c r="H15" s="28">
        <f t="shared" si="0"/>
        <v>0</v>
      </c>
      <c r="I15" s="28">
        <f t="shared" si="1"/>
        <v>0</v>
      </c>
    </row>
    <row r="16" spans="1:9" x14ac:dyDescent="0.45">
      <c r="A16" s="22"/>
      <c r="B16" s="23"/>
      <c r="C16" s="24"/>
      <c r="D16" s="25"/>
      <c r="E16" s="26">
        <f t="shared" si="2"/>
        <v>0</v>
      </c>
      <c r="F16" s="25"/>
      <c r="G16" s="27"/>
      <c r="H16" s="28">
        <f t="shared" si="0"/>
        <v>0</v>
      </c>
      <c r="I16" s="28">
        <f t="shared" si="1"/>
        <v>0</v>
      </c>
    </row>
    <row r="17" spans="1:9" x14ac:dyDescent="0.45">
      <c r="A17" s="22"/>
      <c r="B17" s="23"/>
      <c r="C17" s="24"/>
      <c r="D17" s="25"/>
      <c r="E17" s="26">
        <f t="shared" si="2"/>
        <v>0</v>
      </c>
      <c r="F17" s="25"/>
      <c r="G17" s="27"/>
      <c r="H17" s="28">
        <f t="shared" si="0"/>
        <v>0</v>
      </c>
      <c r="I17" s="28">
        <f t="shared" si="1"/>
        <v>0</v>
      </c>
    </row>
    <row r="18" spans="1:9" x14ac:dyDescent="0.45">
      <c r="A18" s="22"/>
      <c r="B18" s="23"/>
      <c r="C18" s="24"/>
      <c r="D18" s="25"/>
      <c r="E18" s="26">
        <f t="shared" si="2"/>
        <v>0</v>
      </c>
      <c r="F18" s="25"/>
      <c r="G18" s="27"/>
      <c r="H18" s="28">
        <f t="shared" si="0"/>
        <v>0</v>
      </c>
      <c r="I18" s="28">
        <f t="shared" si="1"/>
        <v>0</v>
      </c>
    </row>
    <row r="19" spans="1:9" x14ac:dyDescent="0.45">
      <c r="A19" s="22"/>
      <c r="B19" s="23"/>
      <c r="C19" s="24"/>
      <c r="D19" s="25"/>
      <c r="E19" s="26">
        <f t="shared" si="2"/>
        <v>0</v>
      </c>
      <c r="F19" s="25"/>
      <c r="G19" s="27"/>
      <c r="H19" s="28">
        <f t="shared" si="0"/>
        <v>0</v>
      </c>
      <c r="I19" s="28">
        <f t="shared" si="1"/>
        <v>0</v>
      </c>
    </row>
    <row r="20" spans="1:9" x14ac:dyDescent="0.45">
      <c r="A20" s="22"/>
      <c r="B20" s="23"/>
      <c r="C20" s="24"/>
      <c r="D20" s="25"/>
      <c r="E20" s="26">
        <f t="shared" si="2"/>
        <v>0</v>
      </c>
      <c r="F20" s="25"/>
      <c r="G20" s="27"/>
      <c r="H20" s="28">
        <f t="shared" si="0"/>
        <v>0</v>
      </c>
      <c r="I20" s="28">
        <f t="shared" si="1"/>
        <v>0</v>
      </c>
    </row>
    <row r="21" spans="1:9" x14ac:dyDescent="0.45">
      <c r="A21" s="22"/>
      <c r="B21" s="23"/>
      <c r="C21" s="24"/>
      <c r="D21" s="25"/>
      <c r="E21" s="26">
        <f t="shared" si="2"/>
        <v>0</v>
      </c>
      <c r="F21" s="25"/>
      <c r="G21" s="27"/>
      <c r="H21" s="28">
        <f t="shared" si="0"/>
        <v>0</v>
      </c>
      <c r="I21" s="28">
        <f t="shared" si="1"/>
        <v>0</v>
      </c>
    </row>
    <row r="22" spans="1:9" ht="14.65" thickBot="1" x14ac:dyDescent="0.5">
      <c r="A22" s="18"/>
      <c r="B22" s="6"/>
      <c r="C22" s="7"/>
      <c r="D22" s="8"/>
      <c r="E22" s="12">
        <f t="shared" si="2"/>
        <v>0</v>
      </c>
      <c r="F22" s="8"/>
      <c r="G22" s="9"/>
      <c r="H22" s="14">
        <f t="shared" si="0"/>
        <v>0</v>
      </c>
      <c r="I22" s="14">
        <f t="shared" si="1"/>
        <v>0</v>
      </c>
    </row>
    <row r="23" spans="1:9" ht="49.25" customHeight="1" thickBot="1" x14ac:dyDescent="0.5">
      <c r="A23" s="53"/>
      <c r="B23" s="54"/>
      <c r="C23" s="54"/>
      <c r="D23" s="54"/>
      <c r="E23" s="54"/>
      <c r="F23" s="54"/>
      <c r="G23" s="54"/>
      <c r="H23" s="54"/>
      <c r="I23" s="55"/>
    </row>
  </sheetData>
  <sheetProtection sheet="1" objects="1" scenarios="1"/>
  <mergeCells count="8">
    <mergeCell ref="A1:B2"/>
    <mergeCell ref="C1:H2"/>
    <mergeCell ref="A23:I23"/>
    <mergeCell ref="I3:I4"/>
    <mergeCell ref="A3:A4"/>
    <mergeCell ref="B3:B4"/>
    <mergeCell ref="C3:E3"/>
    <mergeCell ref="F3:H3"/>
  </mergeCells>
  <pageMargins left="0.9055118110236221" right="0.31496062992125984" top="0.35433070866141736" bottom="0.35433070866141736" header="0.31496062992125984" footer="0.31496062992125984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2:I25"/>
  <sheetViews>
    <sheetView topLeftCell="A10" workbookViewId="0">
      <selection activeCell="B25" sqref="B25:J25"/>
    </sheetView>
  </sheetViews>
  <sheetFormatPr baseColWidth="10" defaultRowHeight="14.25" x14ac:dyDescent="0.45"/>
  <cols>
    <col min="1" max="1" width="7.796875" customWidth="1"/>
    <col min="2" max="2" width="30.53125" customWidth="1"/>
    <col min="3" max="3" width="8.6640625" customWidth="1"/>
    <col min="4" max="4" width="6.796875" customWidth="1"/>
    <col min="5" max="5" width="7.46484375" customWidth="1"/>
    <col min="6" max="6" width="9.53125" customWidth="1"/>
    <col min="7" max="7" width="9.86328125" customWidth="1"/>
    <col min="8" max="8" width="10.86328125" customWidth="1"/>
    <col min="9" max="9" width="25.46484375" customWidth="1"/>
  </cols>
  <sheetData>
    <row r="2" spans="1:9" x14ac:dyDescent="0.45">
      <c r="B2" t="s">
        <v>40</v>
      </c>
    </row>
    <row r="4" spans="1:9" s="31" customFormat="1" ht="39.6" customHeight="1" x14ac:dyDescent="0.45">
      <c r="A4" s="32" t="s">
        <v>10</v>
      </c>
      <c r="B4" s="32" t="s">
        <v>11</v>
      </c>
      <c r="C4" s="32" t="s">
        <v>15</v>
      </c>
      <c r="D4" s="32" t="s">
        <v>41</v>
      </c>
      <c r="E4" s="32" t="s">
        <v>16</v>
      </c>
      <c r="F4" s="32" t="s">
        <v>17</v>
      </c>
      <c r="G4" s="32" t="s">
        <v>12</v>
      </c>
      <c r="H4" s="32" t="s">
        <v>13</v>
      </c>
      <c r="I4" s="32" t="s">
        <v>14</v>
      </c>
    </row>
    <row r="5" spans="1:9" s="1" customFormat="1" x14ac:dyDescent="0.45">
      <c r="A5" s="1" t="s">
        <v>18</v>
      </c>
      <c r="B5" s="1" t="s">
        <v>19</v>
      </c>
      <c r="C5" s="1" t="s">
        <v>21</v>
      </c>
      <c r="D5" s="1" t="s">
        <v>20</v>
      </c>
      <c r="E5" s="1" t="s">
        <v>22</v>
      </c>
      <c r="F5" s="1" t="s">
        <v>23</v>
      </c>
      <c r="G5" s="1" t="s">
        <v>24</v>
      </c>
      <c r="H5" s="1" t="s">
        <v>25</v>
      </c>
      <c r="I5" s="1" t="s">
        <v>26</v>
      </c>
    </row>
    <row r="6" spans="1:9" x14ac:dyDescent="0.45">
      <c r="B6" t="s">
        <v>27</v>
      </c>
    </row>
    <row r="9" spans="1:9" x14ac:dyDescent="0.45">
      <c r="B9" t="s">
        <v>28</v>
      </c>
    </row>
    <row r="10" spans="1:9" x14ac:dyDescent="0.45">
      <c r="B10" t="s">
        <v>36</v>
      </c>
    </row>
    <row r="11" spans="1:9" x14ac:dyDescent="0.45">
      <c r="B11" t="s">
        <v>29</v>
      </c>
    </row>
    <row r="12" spans="1:9" x14ac:dyDescent="0.45">
      <c r="B12" t="s">
        <v>31</v>
      </c>
    </row>
    <row r="14" spans="1:9" x14ac:dyDescent="0.45">
      <c r="B14" t="s">
        <v>32</v>
      </c>
    </row>
    <row r="15" spans="1:9" x14ac:dyDescent="0.45">
      <c r="B15" t="s">
        <v>37</v>
      </c>
    </row>
    <row r="17" spans="2:9" x14ac:dyDescent="0.45">
      <c r="B17" t="s">
        <v>33</v>
      </c>
    </row>
    <row r="18" spans="2:9" x14ac:dyDescent="0.45">
      <c r="B18" t="s">
        <v>38</v>
      </c>
    </row>
    <row r="19" spans="2:9" x14ac:dyDescent="0.45">
      <c r="B19" t="s">
        <v>39</v>
      </c>
    </row>
    <row r="21" spans="2:9" x14ac:dyDescent="0.45">
      <c r="B21" t="s">
        <v>30</v>
      </c>
    </row>
    <row r="22" spans="2:9" x14ac:dyDescent="0.45">
      <c r="B22" t="s">
        <v>34</v>
      </c>
    </row>
    <row r="23" spans="2:9" x14ac:dyDescent="0.45">
      <c r="B23" t="s">
        <v>35</v>
      </c>
    </row>
    <row r="25" spans="2:9" x14ac:dyDescent="0.45">
      <c r="B25" s="1" t="str">
        <f>[1]Hoja1!$A$1</f>
        <v>000-00000</v>
      </c>
      <c r="C25" s="33">
        <f>[1]Hoja1!$C$1</f>
        <v>0</v>
      </c>
      <c r="D25" s="33">
        <f>[1]Hoja1!$I$1</f>
        <v>0</v>
      </c>
      <c r="E25" s="33">
        <f>[1]Hoja1!$I$2</f>
        <v>0</v>
      </c>
      <c r="F25" s="33">
        <f>[1]Hoja1!$E$22</f>
        <v>0</v>
      </c>
      <c r="G25" s="33">
        <f>[1]Hoja1!$H$22</f>
        <v>0</v>
      </c>
      <c r="H25" s="33">
        <f>SUM(F25:G25)</f>
        <v>0</v>
      </c>
      <c r="I25" s="34">
        <f>MAX([1]Hoja1!$A$5:$A$22)</f>
        <v>0</v>
      </c>
    </row>
  </sheetData>
  <pageMargins left="0.70866141732283472" right="0.70866141732283472" top="0.74803149606299213" bottom="0.74803149606299213" header="0.31496062992125984" footer="0.31496062992125984"/>
  <pageSetup scale="82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K532"/>
  <sheetViews>
    <sheetView tabSelected="1" topLeftCell="B2" workbookViewId="0">
      <selection activeCell="B522" sqref="B522"/>
    </sheetView>
  </sheetViews>
  <sheetFormatPr baseColWidth="10" defaultRowHeight="14.25" x14ac:dyDescent="0.45"/>
  <cols>
    <col min="1" max="1" width="10.6640625" style="39" hidden="1" customWidth="1"/>
    <col min="2" max="2" width="13.3984375" style="39" customWidth="1"/>
    <col min="3" max="3" width="20.53125" style="39" customWidth="1"/>
    <col min="4" max="4" width="35.265625" style="39" customWidth="1"/>
    <col min="5" max="9" width="10.6640625" style="39"/>
    <col min="10" max="10" width="10.6640625" style="43"/>
    <col min="11" max="11" width="42.06640625" style="44" customWidth="1"/>
    <col min="12" max="16384" width="10.6640625" style="39"/>
  </cols>
  <sheetData>
    <row r="1" spans="2:11" hidden="1" x14ac:dyDescent="0.45">
      <c r="B1" s="39" t="s">
        <v>572</v>
      </c>
      <c r="C1" s="35" t="str">
        <f>[2]Hoja1!$A$1</f>
        <v xml:space="preserve">000-00000 </v>
      </c>
      <c r="D1" s="36" t="str">
        <f>[2]Hoja1!$C$1</f>
        <v xml:space="preserve"> </v>
      </c>
      <c r="E1" s="36">
        <f>[2]Hoja1!$I$1</f>
        <v>0</v>
      </c>
      <c r="F1" s="36">
        <f>[2]Hoja1!$I$2</f>
        <v>0</v>
      </c>
      <c r="G1" s="36">
        <f>[2]Hoja1!$E$22</f>
        <v>0</v>
      </c>
      <c r="H1" s="36">
        <f>[2]Hoja1!$H$22</f>
        <v>5</v>
      </c>
      <c r="I1" s="36">
        <f>SUM(G1:H1)</f>
        <v>5</v>
      </c>
      <c r="J1" s="37">
        <f>MAX([2]Hoja1!$A$5:$A$22)</f>
        <v>44043</v>
      </c>
      <c r="K1" s="38" t="str">
        <f>IF(ISTEXT([2]Hoja1!$A$23),[2]Hoja1!$A$23,"")</f>
        <v/>
      </c>
    </row>
    <row r="2" spans="2:11" s="40" customFormat="1" ht="39.6" customHeight="1" x14ac:dyDescent="0.45">
      <c r="B2" s="40" t="s">
        <v>43</v>
      </c>
      <c r="C2" s="40" t="s">
        <v>42</v>
      </c>
      <c r="D2" s="40" t="s">
        <v>11</v>
      </c>
      <c r="E2" s="40" t="s">
        <v>15</v>
      </c>
      <c r="F2" s="40" t="s">
        <v>41</v>
      </c>
      <c r="G2" s="40" t="s">
        <v>16</v>
      </c>
      <c r="H2" s="40" t="s">
        <v>17</v>
      </c>
      <c r="I2" s="40" t="s">
        <v>12</v>
      </c>
      <c r="J2" s="41" t="s">
        <v>13</v>
      </c>
      <c r="K2" s="42" t="s">
        <v>14</v>
      </c>
    </row>
    <row r="3" spans="2:11" x14ac:dyDescent="0.45">
      <c r="B3" s="39" t="s">
        <v>44</v>
      </c>
      <c r="C3" s="35" t="str">
        <f>[3]Hoja1!$A$1</f>
        <v>008-02006</v>
      </c>
      <c r="D3" s="36" t="str">
        <f>[3]Hoja1!$C$1</f>
        <v>tapon de lubricacion arbol de levas LL</v>
      </c>
      <c r="E3" s="36">
        <f>[3]Hoja1!$I$1</f>
        <v>11</v>
      </c>
      <c r="F3" s="36">
        <f>[3]Hoja1!$I$2</f>
        <v>1</v>
      </c>
      <c r="G3" s="36">
        <f>[3]Hoja1!$E$22</f>
        <v>0</v>
      </c>
      <c r="H3" s="36">
        <f>[3]Hoja1!$H$22</f>
        <v>13</v>
      </c>
      <c r="I3" s="36">
        <f t="shared" ref="I3:I66" si="0">SUM(G3:H3)</f>
        <v>13</v>
      </c>
      <c r="J3" s="37">
        <f>MAX([3]Hoja1!$A$5:$A$22)</f>
        <v>44043</v>
      </c>
      <c r="K3" s="38" t="str">
        <f>IF(ISTEXT([3]Hoja1!$A$23),[3]Hoja1!$A$23,"")</f>
        <v xml:space="preserve">sin mov  </v>
      </c>
    </row>
    <row r="4" spans="2:11" x14ac:dyDescent="0.45">
      <c r="B4" s="39" t="s">
        <v>45</v>
      </c>
      <c r="C4" s="35" t="str">
        <f>[4]Hoja1!$A$1</f>
        <v>008-02013</v>
      </c>
      <c r="D4" s="36" t="str">
        <f>[4]Hoja1!$C$1</f>
        <v>cuerpo de descompresor 08/1 y 16/2 (cil nro 2)</v>
      </c>
      <c r="E4" s="36">
        <f>[4]Hoja1!$I$1</f>
        <v>11</v>
      </c>
      <c r="F4" s="36">
        <f>[4]Hoja1!$I$2</f>
        <v>1</v>
      </c>
      <c r="G4" s="36">
        <f>[4]Hoja1!$E$22</f>
        <v>0</v>
      </c>
      <c r="H4" s="36">
        <f>[4]Hoja1!$H$22</f>
        <v>1</v>
      </c>
      <c r="I4" s="36">
        <f t="shared" si="0"/>
        <v>1</v>
      </c>
      <c r="J4" s="37">
        <f>MAX([4]Hoja1!$A$5:$A$22)</f>
        <v>44043</v>
      </c>
      <c r="K4" s="38" t="str">
        <f>IF(ISTEXT([4]Hoja1!$A$23),[4]Hoja1!$A$23,"")</f>
        <v>muestra</v>
      </c>
    </row>
    <row r="5" spans="2:11" x14ac:dyDescent="0.45">
      <c r="B5" s="45" t="s">
        <v>46</v>
      </c>
      <c r="C5" s="35" t="str">
        <f>[5]Hoja1!$A$1</f>
        <v>008-02020</v>
      </c>
      <c r="D5" s="36" t="str">
        <f>[5]Hoja1!$C$1</f>
        <v>puerta de cilindro LL</v>
      </c>
      <c r="E5" s="36">
        <f>[5]Hoja1!$I$1</f>
        <v>11</v>
      </c>
      <c r="F5" s="36">
        <f>[5]Hoja1!$I$2</f>
        <v>1</v>
      </c>
      <c r="G5" s="36">
        <f>[5]Hoja1!$E$22</f>
        <v>0</v>
      </c>
      <c r="H5" s="36">
        <f>[5]Hoja1!$H$22</f>
        <v>2</v>
      </c>
      <c r="I5" s="36">
        <f t="shared" si="0"/>
        <v>2</v>
      </c>
      <c r="J5" s="37">
        <f>MAX([5]Hoja1!$A$5:$A$22)</f>
        <v>44043</v>
      </c>
      <c r="K5" s="38" t="str">
        <f>IF(ISTEXT([5]Hoja1!$A$23),[5]Hoja1!$A$23,"")</f>
        <v>sin movimiento</v>
      </c>
    </row>
    <row r="6" spans="2:11" x14ac:dyDescent="0.45">
      <c r="B6" s="39" t="s">
        <v>47</v>
      </c>
      <c r="C6" s="35" t="str">
        <f>[6]Hoja1!$A$1</f>
        <v>008-02020</v>
      </c>
      <c r="D6" s="36" t="str">
        <f>[6]Hoja1!$C$1</f>
        <v>puerta de cilindro LL</v>
      </c>
      <c r="E6" s="36">
        <f>[6]Hoja1!$I$1</f>
        <v>11</v>
      </c>
      <c r="F6" s="36">
        <f>[6]Hoja1!$I$2</f>
        <v>1</v>
      </c>
      <c r="G6" s="36">
        <f>[6]Hoja1!$E$22</f>
        <v>0</v>
      </c>
      <c r="H6" s="36">
        <f>[6]Hoja1!$H$22</f>
        <v>2</v>
      </c>
      <c r="I6" s="36">
        <f t="shared" si="0"/>
        <v>2</v>
      </c>
      <c r="J6" s="37">
        <f>MAX([6]Hoja1!$A$5:$A$22)</f>
        <v>44043</v>
      </c>
      <c r="K6" s="38" t="str">
        <f>IF(ISTEXT([6]Hoja1!$A$23),[6]Hoja1!$A$23,"")</f>
        <v>sin movimiento</v>
      </c>
    </row>
    <row r="7" spans="2:11" x14ac:dyDescent="0.45">
      <c r="B7" s="45" t="s">
        <v>48</v>
      </c>
      <c r="C7" s="35" t="str">
        <f>[7]Hoja1!$A$1</f>
        <v>008-02024B</v>
      </c>
      <c r="D7" s="36" t="str">
        <f>[7]Hoja1!$C$1</f>
        <v>brida de agua LL</v>
      </c>
      <c r="E7" s="36">
        <f>[7]Hoja1!$I$1</f>
        <v>11</v>
      </c>
      <c r="F7" s="36">
        <f>[7]Hoja1!$I$2</f>
        <v>1</v>
      </c>
      <c r="G7" s="36">
        <f>[7]Hoja1!$E$22</f>
        <v>0</v>
      </c>
      <c r="H7" s="36">
        <f>[7]Hoja1!$H$22</f>
        <v>9</v>
      </c>
      <c r="I7" s="36">
        <f t="shared" si="0"/>
        <v>9</v>
      </c>
      <c r="J7" s="37">
        <f>MAX([7]Hoja1!$A$5:$A$22)</f>
        <v>44043</v>
      </c>
      <c r="K7" s="38" t="str">
        <f>IF(ISTEXT([7]Hoja1!$A$23),[7]Hoja1!$A$23,"")</f>
        <v>sin movimiento</v>
      </c>
    </row>
    <row r="8" spans="2:11" x14ac:dyDescent="0.45">
      <c r="B8" s="39" t="s">
        <v>49</v>
      </c>
      <c r="C8" s="35" t="str">
        <f>[8]Hoja1!$A$1</f>
        <v>008-02025</v>
      </c>
      <c r="D8" s="36" t="str">
        <f>[8]Hoja1!$C$1</f>
        <v>codo respiradero LL</v>
      </c>
      <c r="E8" s="36">
        <f>[8]Hoja1!$I$1</f>
        <v>11</v>
      </c>
      <c r="F8" s="36">
        <f>[8]Hoja1!$I$2</f>
        <v>1</v>
      </c>
      <c r="G8" s="36">
        <f>[8]Hoja1!$E$22</f>
        <v>0</v>
      </c>
      <c r="H8" s="36">
        <f>[8]Hoja1!$H$22</f>
        <v>2</v>
      </c>
      <c r="I8" s="36">
        <f t="shared" si="0"/>
        <v>2</v>
      </c>
      <c r="J8" s="37">
        <f>MAX([8]Hoja1!$A$5:$A$22)</f>
        <v>44043</v>
      </c>
      <c r="K8" s="38" t="str">
        <f>IF(ISTEXT([8]Hoja1!$A$23),[8]Hoja1!$A$23,"")</f>
        <v>sin movimiento</v>
      </c>
    </row>
    <row r="9" spans="2:11" x14ac:dyDescent="0.45">
      <c r="B9" s="39" t="s">
        <v>50</v>
      </c>
      <c r="C9" s="35" t="str">
        <f>[9]Hoja1!$A$1</f>
        <v>008-02029</v>
      </c>
      <c r="D9" s="36" t="str">
        <f>[9]Hoja1!$C$1</f>
        <v>eje de engranaje intermedio LL</v>
      </c>
      <c r="E9" s="36">
        <f>[9]Hoja1!$I$1</f>
        <v>1</v>
      </c>
      <c r="F9" s="36">
        <f>[9]Hoja1!$I$2</f>
        <v>1</v>
      </c>
      <c r="G9" s="36">
        <f>[9]Hoja1!$E$22</f>
        <v>2</v>
      </c>
      <c r="H9" s="36">
        <f>[9]Hoja1!$H$22</f>
        <v>88</v>
      </c>
      <c r="I9" s="36">
        <f t="shared" si="0"/>
        <v>90</v>
      </c>
      <c r="J9" s="37">
        <f>MAX([9]Hoja1!$A$5:$A$22)</f>
        <v>44094</v>
      </c>
      <c r="K9" s="38" t="str">
        <f>IF(ISTEXT([9]Hoja1!$A$23),[9]Hoja1!$A$23,"")</f>
        <v/>
      </c>
    </row>
    <row r="10" spans="2:11" x14ac:dyDescent="0.45">
      <c r="B10" s="45" t="s">
        <v>51</v>
      </c>
      <c r="C10" s="35" t="str">
        <f>[10]Hoja1!$A$1</f>
        <v>008-02029</v>
      </c>
      <c r="D10" s="36" t="str">
        <f>[10]Hoja1!$C$1</f>
        <v>eje de engranaje intermedio LL</v>
      </c>
      <c r="E10" s="36">
        <f>[10]Hoja1!$I$1</f>
        <v>1</v>
      </c>
      <c r="F10" s="36">
        <f>[10]Hoja1!$I$2</f>
        <v>1</v>
      </c>
      <c r="G10" s="36">
        <f>[10]Hoja1!$E$22</f>
        <v>0</v>
      </c>
      <c r="H10" s="36">
        <f>[10]Hoja1!$H$22</f>
        <v>88</v>
      </c>
      <c r="I10" s="36">
        <f t="shared" si="0"/>
        <v>88</v>
      </c>
      <c r="J10" s="37">
        <f>MAX([10]Hoja1!$A$5:$A$22)</f>
        <v>44043</v>
      </c>
      <c r="K10" s="38" t="str">
        <f>IF(ISTEXT([10]Hoja1!$A$23),[10]Hoja1!$A$23,"")</f>
        <v/>
      </c>
    </row>
    <row r="11" spans="2:11" x14ac:dyDescent="0.45">
      <c r="B11" s="45" t="s">
        <v>52</v>
      </c>
      <c r="C11" s="35" t="str">
        <f>[11]Hoja1!$A$1</f>
        <v>008-02039B</v>
      </c>
      <c r="D11" s="36" t="str">
        <f>[11]Hoja1!$C$1</f>
        <v xml:space="preserve">bomba inyectora LL </v>
      </c>
      <c r="E11" s="36">
        <f>[11]Hoja1!$I$1</f>
        <v>1</v>
      </c>
      <c r="F11" s="36">
        <f>[11]Hoja1!$I$2</f>
        <v>1</v>
      </c>
      <c r="G11" s="36">
        <f>[11]Hoja1!$E$22</f>
        <v>0</v>
      </c>
      <c r="H11" s="36">
        <f>[11]Hoja1!$H$22</f>
        <v>0</v>
      </c>
      <c r="I11" s="36">
        <f t="shared" si="0"/>
        <v>0</v>
      </c>
      <c r="J11" s="37">
        <f>MAX([11]Hoja1!$A$5:$A$22)</f>
        <v>44125</v>
      </c>
      <c r="K11" s="38" t="str">
        <f>IF(ISTEXT([11]Hoja1!$A$23),[11]Hoja1!$A$23,"")</f>
        <v/>
      </c>
    </row>
    <row r="12" spans="2:11" x14ac:dyDescent="0.45">
      <c r="B12" s="39" t="s">
        <v>53</v>
      </c>
      <c r="C12" s="35" t="str">
        <f>[12]Hoja1!$A$1</f>
        <v>008-02062F</v>
      </c>
      <c r="D12" s="36" t="str">
        <f>[12]Hoja1!$C$1</f>
        <v xml:space="preserve">junta de bancada FINA LL </v>
      </c>
      <c r="E12" s="36">
        <f>[12]Hoja1!$I$1</f>
        <v>1</v>
      </c>
      <c r="F12" s="36">
        <f>[12]Hoja1!$I$2</f>
        <v>1</v>
      </c>
      <c r="G12" s="36">
        <f>[12]Hoja1!$E$22</f>
        <v>6</v>
      </c>
      <c r="H12" s="36">
        <f>[12]Hoja1!$H$22</f>
        <v>60</v>
      </c>
      <c r="I12" s="36">
        <f t="shared" si="0"/>
        <v>66</v>
      </c>
      <c r="J12" s="37">
        <f>MAX([12]Hoja1!$A$5:$A$22)</f>
        <v>44043</v>
      </c>
      <c r="K12" s="38" t="str">
        <f>IF(ISTEXT([12]Hoja1!$A$23),[12]Hoja1!$A$23,"")</f>
        <v/>
      </c>
    </row>
    <row r="13" spans="2:11" x14ac:dyDescent="0.45">
      <c r="B13" s="45" t="s">
        <v>54</v>
      </c>
      <c r="C13" s="35" t="str">
        <f>[13]Hoja1!$A$1</f>
        <v>008-02062F</v>
      </c>
      <c r="D13" s="36" t="str">
        <f>[13]Hoja1!$C$1</f>
        <v xml:space="preserve">junta de bancada GRUESA LL </v>
      </c>
      <c r="E13" s="36">
        <f>[13]Hoja1!$I$1</f>
        <v>1</v>
      </c>
      <c r="F13" s="36">
        <f>[13]Hoja1!$I$2</f>
        <v>1</v>
      </c>
      <c r="G13" s="36">
        <f>[13]Hoja1!$E$22</f>
        <v>6</v>
      </c>
      <c r="H13" s="36">
        <f>[13]Hoja1!$H$22</f>
        <v>180</v>
      </c>
      <c r="I13" s="36">
        <f t="shared" si="0"/>
        <v>186</v>
      </c>
      <c r="J13" s="37">
        <f>MAX([13]Hoja1!$A$5:$A$22)</f>
        <v>44043</v>
      </c>
      <c r="K13" s="38" t="str">
        <f>IF(ISTEXT([13]Hoja1!$A$23),[13]Hoja1!$A$23,"")</f>
        <v/>
      </c>
    </row>
    <row r="14" spans="2:11" x14ac:dyDescent="0.45">
      <c r="B14" s="39" t="s">
        <v>55</v>
      </c>
      <c r="C14" s="35" t="str">
        <f>[14]Hoja1!$A$1</f>
        <v>008-02102</v>
      </c>
      <c r="D14" s="36" t="str">
        <f>[14]Hoja1!$C$1</f>
        <v xml:space="preserve">bandeja de salpicado  8/1 </v>
      </c>
      <c r="E14" s="36">
        <f>[14]Hoja1!$I$1</f>
        <v>1</v>
      </c>
      <c r="F14" s="36">
        <f>[14]Hoja1!$I$2</f>
        <v>11</v>
      </c>
      <c r="G14" s="36">
        <f>[14]Hoja1!$E$22</f>
        <v>0</v>
      </c>
      <c r="H14" s="36">
        <f>[14]Hoja1!$H$22</f>
        <v>8</v>
      </c>
      <c r="I14" s="36">
        <f t="shared" si="0"/>
        <v>8</v>
      </c>
      <c r="J14" s="37">
        <f>MAX([14]Hoja1!$A$5:$A$22)</f>
        <v>44043</v>
      </c>
      <c r="K14" s="38" t="str">
        <f>IF(ISTEXT([14]Hoja1!$A$23),[14]Hoja1!$A$23,"")</f>
        <v xml:space="preserve">sin movimiento </v>
      </c>
    </row>
    <row r="15" spans="2:11" x14ac:dyDescent="0.45">
      <c r="B15" s="39" t="s">
        <v>56</v>
      </c>
      <c r="C15" s="35" t="str">
        <f>[15]Hoja1!$A$1</f>
        <v>008-02123</v>
      </c>
      <c r="D15" s="36" t="str">
        <f>[15]Hoja1!$C$1</f>
        <v xml:space="preserve">tornillo de ajuste  del botador c/rod  8/1 </v>
      </c>
      <c r="E15" s="36">
        <f>[15]Hoja1!$I$1</f>
        <v>1</v>
      </c>
      <c r="F15" s="36">
        <f>[15]Hoja1!$I$2</f>
        <v>11</v>
      </c>
      <c r="G15" s="36">
        <f>[15]Hoja1!$E$22</f>
        <v>0</v>
      </c>
      <c r="H15" s="36">
        <f>[15]Hoja1!$H$22</f>
        <v>5</v>
      </c>
      <c r="I15" s="36">
        <f t="shared" si="0"/>
        <v>5</v>
      </c>
      <c r="J15" s="37">
        <f>MAX([15]Hoja1!$A$5:$A$22)</f>
        <v>44043</v>
      </c>
      <c r="K15" s="38" t="str">
        <f>IF(ISTEXT([15]Hoja1!$A$23),[15]Hoja1!$A$23,"")</f>
        <v>sin movimiento    A IDENTIFICAR</v>
      </c>
    </row>
    <row r="16" spans="2:11" x14ac:dyDescent="0.45">
      <c r="B16" s="39" t="s">
        <v>57</v>
      </c>
      <c r="C16" s="35" t="str">
        <f>[16]Hoja1!$A$1</f>
        <v>008-02124</v>
      </c>
      <c r="D16" s="36" t="str">
        <f>[16]Hoja1!$C$1</f>
        <v xml:space="preserve">leva de bomba inyectora LL </v>
      </c>
      <c r="E16" s="36">
        <f>[16]Hoja1!$I$1</f>
        <v>1</v>
      </c>
      <c r="F16" s="36">
        <f>[16]Hoja1!$I$2</f>
        <v>1</v>
      </c>
      <c r="G16" s="36">
        <f>[16]Hoja1!$E$22</f>
        <v>22</v>
      </c>
      <c r="H16" s="36">
        <f>[16]Hoja1!$H$22</f>
        <v>5</v>
      </c>
      <c r="I16" s="36">
        <f t="shared" si="0"/>
        <v>27</v>
      </c>
      <c r="J16" s="37">
        <f>MAX([16]Hoja1!$A$5:$A$22)</f>
        <v>44043</v>
      </c>
      <c r="K16" s="38" t="str">
        <f>IF(ISTEXT([16]Hoja1!$A$23),[16]Hoja1!$A$23,"")</f>
        <v>hay 3 mas nacionales ex RAL sin valor</v>
      </c>
    </row>
    <row r="17" spans="2:11" x14ac:dyDescent="0.45">
      <c r="B17" s="39" t="s">
        <v>58</v>
      </c>
      <c r="C17" s="35" t="str">
        <f>[17]Hoja1!$A$1</f>
        <v>008-02126</v>
      </c>
      <c r="D17" s="36" t="str">
        <f>[17]Hoja1!$C$1</f>
        <v>perno del botador  LL</v>
      </c>
      <c r="E17" s="36">
        <f>[17]Hoja1!$I$1</f>
        <v>1</v>
      </c>
      <c r="F17" s="36">
        <f>[17]Hoja1!$I$2</f>
        <v>1</v>
      </c>
      <c r="G17" s="36">
        <f>[17]Hoja1!$E$22</f>
        <v>0</v>
      </c>
      <c r="H17" s="36">
        <f>[17]Hoja1!$H$22</f>
        <v>181</v>
      </c>
      <c r="I17" s="36">
        <f t="shared" si="0"/>
        <v>181</v>
      </c>
      <c r="J17" s="37">
        <f>MAX([17]Hoja1!$A$5:$A$22)</f>
        <v>44043</v>
      </c>
      <c r="K17" s="38" t="str">
        <f>IF(ISTEXT([17]Hoja1!$A$23),[17]Hoja1!$A$23,"")</f>
        <v xml:space="preserve">sin movimiento  - </v>
      </c>
    </row>
    <row r="18" spans="2:11" x14ac:dyDescent="0.45">
      <c r="B18" s="39" t="s">
        <v>59</v>
      </c>
      <c r="C18" s="35" t="str">
        <f>[18]Hoja1!$A$1</f>
        <v>008-02127</v>
      </c>
      <c r="D18" s="36" t="str">
        <f>[18]Hoja1!$C$1</f>
        <v>rodillo del botador  LL</v>
      </c>
      <c r="E18" s="36">
        <f>[18]Hoja1!$I$1</f>
        <v>1</v>
      </c>
      <c r="F18" s="36">
        <f>[18]Hoja1!$I$2</f>
        <v>1</v>
      </c>
      <c r="G18" s="36">
        <f>[18]Hoja1!$E$22</f>
        <v>0</v>
      </c>
      <c r="H18" s="36">
        <f>[18]Hoja1!$H$22</f>
        <v>192</v>
      </c>
      <c r="I18" s="36">
        <f t="shared" si="0"/>
        <v>192</v>
      </c>
      <c r="J18" s="37">
        <f>MAX([18]Hoja1!$A$5:$A$22)</f>
        <v>44043</v>
      </c>
      <c r="K18" s="38" t="str">
        <f>IF(ISTEXT([18]Hoja1!$A$23),[18]Hoja1!$A$23,"")</f>
        <v/>
      </c>
    </row>
    <row r="19" spans="2:11" x14ac:dyDescent="0.45">
      <c r="B19" s="39" t="s">
        <v>60</v>
      </c>
      <c r="C19" s="35" t="str">
        <f>[19]Hoja1!$A$1</f>
        <v>008-02129</v>
      </c>
      <c r="D19" s="36" t="str">
        <f>[19]Hoja1!$C$1</f>
        <v>tornillo  localizac de botador con rod.</v>
      </c>
      <c r="E19" s="36">
        <f>[19]Hoja1!$I$1</f>
        <v>11</v>
      </c>
      <c r="F19" s="36">
        <f>[19]Hoja1!$I$2</f>
        <v>1</v>
      </c>
      <c r="G19" s="36">
        <f>[19]Hoja1!$E$22</f>
        <v>0</v>
      </c>
      <c r="H19" s="36">
        <f>[19]Hoja1!$H$22</f>
        <v>31</v>
      </c>
      <c r="I19" s="36">
        <f t="shared" si="0"/>
        <v>31</v>
      </c>
      <c r="J19" s="37">
        <f>MAX([19]Hoja1!$A$5:$A$22)</f>
        <v>44043</v>
      </c>
      <c r="K19" s="38" t="str">
        <f>IF(ISTEXT([19]Hoja1!$A$23),[19]Hoja1!$A$23,"")</f>
        <v>sin movim</v>
      </c>
    </row>
    <row r="20" spans="2:11" x14ac:dyDescent="0.45">
      <c r="B20" s="45" t="s">
        <v>61</v>
      </c>
      <c r="C20" s="35" t="str">
        <f>[20]Hoja1!$A$1</f>
        <v>008-02160</v>
      </c>
      <c r="D20" s="36" t="str">
        <f>[20]Hoja1!$C$1</f>
        <v xml:space="preserve">alojamiento de valvula bba aceite   8/1 </v>
      </c>
      <c r="E20" s="36">
        <f>[20]Hoja1!$I$1</f>
        <v>1</v>
      </c>
      <c r="F20" s="36">
        <f>[20]Hoja1!$I$2</f>
        <v>11</v>
      </c>
      <c r="G20" s="36">
        <f>[20]Hoja1!$E$22</f>
        <v>0</v>
      </c>
      <c r="H20" s="36">
        <f>[20]Hoja1!$H$22</f>
        <v>0</v>
      </c>
      <c r="I20" s="36">
        <f t="shared" si="0"/>
        <v>0</v>
      </c>
      <c r="J20" s="37">
        <f>MAX([20]Hoja1!$A$5:$A$22)</f>
        <v>44043</v>
      </c>
      <c r="K20" s="38" t="str">
        <f>IF(ISTEXT([20]Hoja1!$A$23),[20]Hoja1!$A$23,"")</f>
        <v>solo uno de muestra</v>
      </c>
    </row>
    <row r="21" spans="2:11" x14ac:dyDescent="0.45">
      <c r="B21" s="39" t="s">
        <v>62</v>
      </c>
      <c r="C21" s="35" t="str">
        <f>[21]Hoja1!$A$1</f>
        <v>008-02160</v>
      </c>
      <c r="D21" s="36" t="str">
        <f>[21]Hoja1!$C$1</f>
        <v xml:space="preserve">alojamiento de valvula bba aceite   8/1 </v>
      </c>
      <c r="E21" s="36">
        <f>[21]Hoja1!$I$1</f>
        <v>1</v>
      </c>
      <c r="F21" s="36">
        <f>[21]Hoja1!$I$2</f>
        <v>11</v>
      </c>
      <c r="G21" s="36">
        <f>[21]Hoja1!$E$22</f>
        <v>0</v>
      </c>
      <c r="H21" s="36">
        <f>[21]Hoja1!$H$22</f>
        <v>0</v>
      </c>
      <c r="I21" s="36">
        <f t="shared" si="0"/>
        <v>0</v>
      </c>
      <c r="J21" s="37">
        <f>MAX([21]Hoja1!$A$5:$A$22)</f>
        <v>44043</v>
      </c>
      <c r="K21" s="38" t="str">
        <f>IF(ISTEXT([21]Hoja1!$A$23),[21]Hoja1!$A$23,"")</f>
        <v>solo uno de muestra</v>
      </c>
    </row>
    <row r="22" spans="2:11" x14ac:dyDescent="0.45">
      <c r="B22" s="39" t="s">
        <v>63</v>
      </c>
      <c r="C22" s="35" t="str">
        <f>[22]Hoja1!$A$1</f>
        <v>008-02161</v>
      </c>
      <c r="D22" s="36" t="str">
        <f>[22]Hoja1!$C$1</f>
        <v>conexión salida bba de aceite 8/1</v>
      </c>
      <c r="E22" s="36">
        <f>[22]Hoja1!$I$1</f>
        <v>1</v>
      </c>
      <c r="F22" s="36">
        <f>[22]Hoja1!$I$2</f>
        <v>11</v>
      </c>
      <c r="G22" s="36">
        <f>[22]Hoja1!$E$22</f>
        <v>0</v>
      </c>
      <c r="H22" s="36">
        <f>[22]Hoja1!$H$22</f>
        <v>30</v>
      </c>
      <c r="I22" s="36">
        <f t="shared" si="0"/>
        <v>30</v>
      </c>
      <c r="J22" s="37">
        <f>MAX([22]Hoja1!$A$5:$A$22)</f>
        <v>44043</v>
      </c>
      <c r="K22" s="38" t="str">
        <f>IF(ISTEXT([22]Hoja1!$A$23),[22]Hoja1!$A$23,"")</f>
        <v>no tiene venta - muy poco movimiento</v>
      </c>
    </row>
    <row r="23" spans="2:11" x14ac:dyDescent="0.45">
      <c r="B23" s="39" t="s">
        <v>64</v>
      </c>
      <c r="C23" s="35" t="str">
        <f>[23]Hoja1!$A$1</f>
        <v>008-02168B</v>
      </c>
      <c r="D23" s="36" t="str">
        <f>[23]Hoja1!$C$1</f>
        <v>caño de succion 8/1</v>
      </c>
      <c r="E23" s="36">
        <f>[23]Hoja1!$I$1</f>
        <v>1</v>
      </c>
      <c r="F23" s="36">
        <f>[23]Hoja1!$I$2</f>
        <v>11</v>
      </c>
      <c r="G23" s="36">
        <f>[23]Hoja1!$E$22</f>
        <v>0</v>
      </c>
      <c r="H23" s="36">
        <f>[23]Hoja1!$H$22</f>
        <v>30</v>
      </c>
      <c r="I23" s="36">
        <f t="shared" si="0"/>
        <v>30</v>
      </c>
      <c r="J23" s="37">
        <f>MAX([23]Hoja1!$A$5:$A$22)</f>
        <v>44043</v>
      </c>
      <c r="K23" s="38" t="str">
        <f>IF(ISTEXT([23]Hoja1!$A$23),[23]Hoja1!$A$23,"")</f>
        <v>sin movimiento -  ver  si son de cobre</v>
      </c>
    </row>
    <row r="24" spans="2:11" x14ac:dyDescent="0.45">
      <c r="B24" s="39" t="s">
        <v>65</v>
      </c>
      <c r="C24" s="35" t="str">
        <f>[24]Hoja1!$A$1</f>
        <v>008-02176</v>
      </c>
      <c r="D24" s="36" t="str">
        <f>[24]Hoja1!$C$1</f>
        <v>resorte de embolo de bba aciete 8/1</v>
      </c>
      <c r="E24" s="36">
        <f>[24]Hoja1!$I$1</f>
        <v>1</v>
      </c>
      <c r="F24" s="36">
        <f>[24]Hoja1!$I$2</f>
        <v>11</v>
      </c>
      <c r="G24" s="36">
        <f>[24]Hoja1!$E$22</f>
        <v>0</v>
      </c>
      <c r="H24" s="36">
        <f>[24]Hoja1!$H$22</f>
        <v>10</v>
      </c>
      <c r="I24" s="36">
        <f t="shared" si="0"/>
        <v>10</v>
      </c>
      <c r="J24" s="37">
        <f>MAX([24]Hoja1!$A$5:$A$22)</f>
        <v>44043</v>
      </c>
      <c r="K24" s="38" t="str">
        <f>IF(ISTEXT([24]Hoja1!$A$23),[24]Hoja1!$A$23,"")</f>
        <v/>
      </c>
    </row>
    <row r="25" spans="2:11" x14ac:dyDescent="0.45">
      <c r="B25" s="39" t="s">
        <v>66</v>
      </c>
      <c r="C25" s="35" t="str">
        <f>[25]Hoja1!$A$1</f>
        <v>008-02177</v>
      </c>
      <c r="D25" s="36" t="str">
        <f>[25]Hoja1!$C$1</f>
        <v>reten de botador con pie 8/1</v>
      </c>
      <c r="E25" s="36">
        <f>[25]Hoja1!$I$1</f>
        <v>1</v>
      </c>
      <c r="F25" s="36">
        <f>[25]Hoja1!$I$2</f>
        <v>11</v>
      </c>
      <c r="G25" s="36">
        <f>[25]Hoja1!$E$22</f>
        <v>3</v>
      </c>
      <c r="H25" s="36">
        <f>[25]Hoja1!$H$22</f>
        <v>12</v>
      </c>
      <c r="I25" s="36">
        <f t="shared" si="0"/>
        <v>15</v>
      </c>
      <c r="J25" s="37">
        <f>MAX([25]Hoja1!$A$5:$A$22)</f>
        <v>44094</v>
      </c>
      <c r="K25" s="38" t="str">
        <f>IF(ISTEXT([25]Hoja1!$A$23),[25]Hoja1!$A$23,"")</f>
        <v/>
      </c>
    </row>
    <row r="26" spans="2:11" x14ac:dyDescent="0.45">
      <c r="B26" s="39" t="s">
        <v>67</v>
      </c>
      <c r="C26" s="35" t="str">
        <f>[26]Hoja1!$A$1</f>
        <v>008-02178</v>
      </c>
      <c r="D26" s="36" t="str">
        <f>[26]Hoja1!$C$1</f>
        <v>reten de embolo bba aceite 8/1</v>
      </c>
      <c r="E26" s="36">
        <f>[26]Hoja1!$I$1</f>
        <v>1</v>
      </c>
      <c r="F26" s="36">
        <f>[26]Hoja1!$I$2</f>
        <v>11</v>
      </c>
      <c r="G26" s="36">
        <f>[26]Hoja1!$E$22</f>
        <v>6</v>
      </c>
      <c r="H26" s="36">
        <f>[26]Hoja1!$H$22</f>
        <v>13</v>
      </c>
      <c r="I26" s="36">
        <f t="shared" si="0"/>
        <v>19</v>
      </c>
      <c r="J26" s="37">
        <f>MAX([26]Hoja1!$A$5:$A$22)</f>
        <v>44122</v>
      </c>
      <c r="K26" s="38" t="str">
        <f>IF(ISTEXT([26]Hoja1!$A$23),[26]Hoja1!$A$23,"")</f>
        <v/>
      </c>
    </row>
    <row r="27" spans="2:11" x14ac:dyDescent="0.45">
      <c r="B27" s="39" t="s">
        <v>68</v>
      </c>
      <c r="C27" s="35" t="str">
        <f>[27]Hoja1!$A$1</f>
        <v>008-02187</v>
      </c>
      <c r="D27" s="36" t="str">
        <f>[27]Hoja1!$C$1</f>
        <v>caño de entrega  bba aceite 8/1</v>
      </c>
      <c r="E27" s="36">
        <f>[27]Hoja1!$I$1</f>
        <v>1</v>
      </c>
      <c r="F27" s="36">
        <f>[27]Hoja1!$I$2</f>
        <v>11</v>
      </c>
      <c r="G27" s="36">
        <f>[27]Hoja1!$E$22</f>
        <v>3</v>
      </c>
      <c r="H27" s="36">
        <f>[27]Hoja1!$H$22</f>
        <v>16</v>
      </c>
      <c r="I27" s="36">
        <f t="shared" si="0"/>
        <v>19</v>
      </c>
      <c r="J27" s="37">
        <f>MAX([27]Hoja1!$A$5:$A$22)</f>
        <v>44043</v>
      </c>
      <c r="K27" s="38" t="str">
        <f>IF(ISTEXT([27]Hoja1!$A$23),[27]Hoja1!$A$23,"")</f>
        <v>sin movimiento</v>
      </c>
    </row>
    <row r="28" spans="2:11" x14ac:dyDescent="0.45">
      <c r="B28" s="39" t="s">
        <v>69</v>
      </c>
      <c r="C28" s="35" t="str">
        <f>[28]Hoja1!$A$1</f>
        <v>008-02195</v>
      </c>
      <c r="D28" s="36" t="str">
        <f>[28]Hoja1!$C$1</f>
        <v>junta de  bba aceite 8/1</v>
      </c>
      <c r="E28" s="36">
        <f>[28]Hoja1!$I$1</f>
        <v>1</v>
      </c>
      <c r="F28" s="36">
        <f>[28]Hoja1!$I$2</f>
        <v>1</v>
      </c>
      <c r="G28" s="36">
        <f>[28]Hoja1!$E$22</f>
        <v>9</v>
      </c>
      <c r="H28" s="36">
        <f>[28]Hoja1!$H$22</f>
        <v>80</v>
      </c>
      <c r="I28" s="36">
        <f t="shared" si="0"/>
        <v>89</v>
      </c>
      <c r="J28" s="37">
        <f>MAX([28]Hoja1!$A$5:$A$22)</f>
        <v>44088</v>
      </c>
      <c r="K28" s="38" t="str">
        <f>IF(ISTEXT([28]Hoja1!$A$23),[28]Hoja1!$A$23,"")</f>
        <v/>
      </c>
    </row>
    <row r="29" spans="2:11" x14ac:dyDescent="0.45">
      <c r="B29" s="39" t="s">
        <v>70</v>
      </c>
      <c r="C29" s="35" t="str">
        <f>[29]Hoja1!$A$1</f>
        <v>008-02201</v>
      </c>
      <c r="D29" s="36" t="str">
        <f>[29]Hoja1!$C$1</f>
        <v>placa de salpicado puerta de carter LL</v>
      </c>
      <c r="E29" s="36">
        <f>[29]Hoja1!$I$1</f>
        <v>11</v>
      </c>
      <c r="F29" s="36">
        <f>[29]Hoja1!$I$2</f>
        <v>1</v>
      </c>
      <c r="G29" s="36">
        <f>[29]Hoja1!$E$22</f>
        <v>0</v>
      </c>
      <c r="H29" s="36">
        <f>[29]Hoja1!$H$22</f>
        <v>8</v>
      </c>
      <c r="I29" s="36">
        <f t="shared" si="0"/>
        <v>8</v>
      </c>
      <c r="J29" s="37">
        <f>MAX([29]Hoja1!$A$5:$A$22)</f>
        <v>44043</v>
      </c>
      <c r="K29" s="38" t="str">
        <f>IF(ISTEXT([29]Hoja1!$A$23),[29]Hoja1!$A$23,"")</f>
        <v>sin movimiento</v>
      </c>
    </row>
    <row r="30" spans="2:11" x14ac:dyDescent="0.45">
      <c r="B30" s="39" t="s">
        <v>71</v>
      </c>
      <c r="C30" s="35" t="str">
        <f>[30]Hoja1!$A$1</f>
        <v>008-02218B</v>
      </c>
      <c r="D30" s="36" t="str">
        <f>[30]Hoja1!$C$1</f>
        <v xml:space="preserve"> colador de aceite  LL</v>
      </c>
      <c r="E30" s="36">
        <f>[30]Hoja1!$I$1</f>
        <v>11</v>
      </c>
      <c r="F30" s="36">
        <f>[30]Hoja1!$I$2</f>
        <v>1</v>
      </c>
      <c r="G30" s="36">
        <f>[30]Hoja1!$E$22</f>
        <v>0</v>
      </c>
      <c r="H30" s="36">
        <f>[30]Hoja1!$H$22</f>
        <v>40</v>
      </c>
      <c r="I30" s="36">
        <f t="shared" si="0"/>
        <v>40</v>
      </c>
      <c r="J30" s="37">
        <f>MAX([30]Hoja1!$A$5:$A$22)</f>
        <v>44043</v>
      </c>
      <c r="K30" s="38" t="str">
        <f>IF(ISTEXT([30]Hoja1!$A$23),[30]Hoja1!$A$23,"")</f>
        <v>sin movimiento</v>
      </c>
    </row>
    <row r="31" spans="2:11" x14ac:dyDescent="0.45">
      <c r="B31" s="39" t="s">
        <v>72</v>
      </c>
      <c r="C31" s="35" t="str">
        <f>[31]Hoja1!$A$1</f>
        <v>008-03017</v>
      </c>
      <c r="D31" s="36" t="str">
        <f>[31]Hoja1!$C$1</f>
        <v xml:space="preserve"> eje de balancines 8/1</v>
      </c>
      <c r="E31" s="36">
        <f>[31]Hoja1!$I$1</f>
        <v>11</v>
      </c>
      <c r="F31" s="36">
        <f>[31]Hoja1!$I$2</f>
        <v>1</v>
      </c>
      <c r="G31" s="36">
        <f>[31]Hoja1!$E$22</f>
        <v>0</v>
      </c>
      <c r="H31" s="36">
        <f>[31]Hoja1!$H$22</f>
        <v>85</v>
      </c>
      <c r="I31" s="36">
        <f t="shared" si="0"/>
        <v>85</v>
      </c>
      <c r="J31" s="37">
        <f>MAX([31]Hoja1!$A$5:$A$22)</f>
        <v>44043</v>
      </c>
      <c r="K31" s="38" t="str">
        <f>IF(ISTEXT([31]Hoja1!$A$23),[31]Hoja1!$A$23,"")</f>
        <v>sin movimiento   -    hay algunos nacionaels ex RAL</v>
      </c>
    </row>
    <row r="32" spans="2:11" x14ac:dyDescent="0.45">
      <c r="B32" s="39" t="s">
        <v>73</v>
      </c>
      <c r="C32" s="35" t="str">
        <f>[32]Hoja1!$A$1</f>
        <v>008-03018</v>
      </c>
      <c r="D32" s="36" t="str">
        <f>[32]Hoja1!$C$1</f>
        <v>soporte de balancines 8/1</v>
      </c>
      <c r="E32" s="36">
        <f>[32]Hoja1!$I$1</f>
        <v>11</v>
      </c>
      <c r="F32" s="36">
        <f>[32]Hoja1!$I$2</f>
        <v>1</v>
      </c>
      <c r="G32" s="36">
        <f>[32]Hoja1!$E$22</f>
        <v>0</v>
      </c>
      <c r="H32" s="36">
        <f>[32]Hoja1!$H$22</f>
        <v>15</v>
      </c>
      <c r="I32" s="36">
        <f t="shared" si="0"/>
        <v>15</v>
      </c>
      <c r="J32" s="37">
        <f>MAX([32]Hoja1!$A$5:$A$22)</f>
        <v>44043</v>
      </c>
      <c r="K32" s="38" t="str">
        <f>IF(ISTEXT([32]Hoja1!$A$23),[32]Hoja1!$A$23,"")</f>
        <v xml:space="preserve">sin movimiento   -   </v>
      </c>
    </row>
    <row r="33" spans="2:11" x14ac:dyDescent="0.45">
      <c r="B33" s="39" t="s">
        <v>74</v>
      </c>
      <c r="C33" s="35" t="str">
        <f>[33]Hoja1!$A$1</f>
        <v>008-03019</v>
      </c>
      <c r="D33" s="36" t="str">
        <f>[33]Hoja1!$C$1</f>
        <v>tapon eje de balancines 8/1</v>
      </c>
      <c r="E33" s="36">
        <f>[33]Hoja1!$I$1</f>
        <v>11</v>
      </c>
      <c r="F33" s="36">
        <f>[33]Hoja1!$I$2</f>
        <v>1</v>
      </c>
      <c r="G33" s="36">
        <f>[33]Hoja1!$E$22</f>
        <v>0</v>
      </c>
      <c r="H33" s="36">
        <f>[33]Hoja1!$H$22</f>
        <v>14</v>
      </c>
      <c r="I33" s="36">
        <f t="shared" si="0"/>
        <v>14</v>
      </c>
      <c r="J33" s="37">
        <f>MAX([33]Hoja1!$A$5:$A$22)</f>
        <v>44043</v>
      </c>
      <c r="K33" s="38" t="str">
        <f>IF(ISTEXT([33]Hoja1!$A$23),[33]Hoja1!$A$23,"")</f>
        <v xml:space="preserve">sin movimiento   -   </v>
      </c>
    </row>
    <row r="34" spans="2:11" x14ac:dyDescent="0.45">
      <c r="B34" s="39" t="s">
        <v>75</v>
      </c>
      <c r="C34" s="35" t="str">
        <f>[34]Hoja1!$A$1</f>
        <v>008-03020</v>
      </c>
      <c r="D34" s="36" t="str">
        <f>[34]Hoja1!$C$1</f>
        <v>varilla levanta valvula  adm- (larga) 8/1</v>
      </c>
      <c r="E34" s="36">
        <f>[34]Hoja1!$I$1</f>
        <v>1</v>
      </c>
      <c r="F34" s="36">
        <f>[34]Hoja1!$I$2</f>
        <v>1</v>
      </c>
      <c r="G34" s="36">
        <f>[34]Hoja1!$E$22</f>
        <v>2</v>
      </c>
      <c r="H34" s="36">
        <f>[34]Hoja1!$H$22</f>
        <v>10</v>
      </c>
      <c r="I34" s="36">
        <f t="shared" si="0"/>
        <v>12</v>
      </c>
      <c r="J34" s="37">
        <f>MAX([34]Hoja1!$A$5:$A$22)</f>
        <v>44082</v>
      </c>
      <c r="K34" s="38" t="str">
        <f>IF(ISTEXT([34]Hoja1!$A$23),[34]Hoja1!$A$23,"")</f>
        <v>hay algunas RALCO</v>
      </c>
    </row>
    <row r="35" spans="2:11" x14ac:dyDescent="0.45">
      <c r="B35" s="39" t="s">
        <v>76</v>
      </c>
      <c r="C35" s="35" t="str">
        <f>[35]Hoja1!$A$1</f>
        <v>008-03021</v>
      </c>
      <c r="D35" s="36" t="str">
        <f>[35]Hoja1!$C$1</f>
        <v>varilla levanta valvula  esc (corta) 8/1</v>
      </c>
      <c r="E35" s="36">
        <f>[35]Hoja1!$I$1</f>
        <v>1</v>
      </c>
      <c r="F35" s="36">
        <f>[35]Hoja1!$I$2</f>
        <v>1</v>
      </c>
      <c r="G35" s="36">
        <f>[35]Hoja1!$E$22</f>
        <v>0</v>
      </c>
      <c r="H35" s="36">
        <f>[35]Hoja1!$H$22</f>
        <v>10</v>
      </c>
      <c r="I35" s="36">
        <f t="shared" si="0"/>
        <v>10</v>
      </c>
      <c r="J35" s="37">
        <f>MAX([35]Hoja1!$A$5:$A$22)</f>
        <v>44129</v>
      </c>
      <c r="K35" s="38" t="str">
        <f>IF(ISTEXT([35]Hoja1!$A$23),[35]Hoja1!$A$23,"")</f>
        <v>hay algunas RALCO</v>
      </c>
    </row>
    <row r="36" spans="2:11" x14ac:dyDescent="0.45">
      <c r="B36" s="39" t="s">
        <v>77</v>
      </c>
      <c r="C36" s="35" t="str">
        <f>[36]Hoja1!$A$1</f>
        <v>008-03022</v>
      </c>
      <c r="D36" s="36" t="str">
        <f>[36]Hoja1!$C$1</f>
        <v>prolongacion grasera 8/1</v>
      </c>
      <c r="E36" s="36">
        <f>[36]Hoja1!$I$1</f>
        <v>11</v>
      </c>
      <c r="F36" s="36">
        <f>[36]Hoja1!$I$2</f>
        <v>1</v>
      </c>
      <c r="G36" s="36">
        <f>[36]Hoja1!$E$22</f>
        <v>0</v>
      </c>
      <c r="H36" s="36">
        <f>[36]Hoja1!$H$22</f>
        <v>1</v>
      </c>
      <c r="I36" s="36">
        <f t="shared" si="0"/>
        <v>1</v>
      </c>
      <c r="J36" s="37">
        <f>MAX([36]Hoja1!$A$5:$A$22)</f>
        <v>44043</v>
      </c>
      <c r="K36" s="38" t="str">
        <f>IF(ISTEXT([36]Hoja1!$A$23),[36]Hoja1!$A$23,"")</f>
        <v xml:space="preserve">muestra  - no vender </v>
      </c>
    </row>
    <row r="37" spans="2:11" x14ac:dyDescent="0.45">
      <c r="B37" s="39" t="s">
        <v>78</v>
      </c>
      <c r="C37" s="35" t="str">
        <f>[37]Hoja1!$A$1</f>
        <v>008-03026B</v>
      </c>
      <c r="D37" s="36" t="str">
        <f>[37]Hoja1!$C$1</f>
        <v>cubierta de cabeza LL</v>
      </c>
      <c r="E37" s="36">
        <f>[37]Hoja1!$I$1</f>
        <v>11</v>
      </c>
      <c r="F37" s="36">
        <f>[37]Hoja1!$I$2</f>
        <v>1</v>
      </c>
      <c r="G37" s="36">
        <f>[37]Hoja1!$E$22</f>
        <v>0</v>
      </c>
      <c r="H37" s="36">
        <f>[37]Hoja1!$H$22</f>
        <v>5</v>
      </c>
      <c r="I37" s="36">
        <f t="shared" si="0"/>
        <v>5</v>
      </c>
      <c r="J37" s="37">
        <f>MAX([37]Hoja1!$A$5:$A$22)</f>
        <v>44043</v>
      </c>
      <c r="K37" s="38" t="str">
        <f>IF(ISTEXT([37]Hoja1!$A$23),[37]Hoja1!$A$23,"")</f>
        <v xml:space="preserve">sin movimiento   -   </v>
      </c>
    </row>
    <row r="38" spans="2:11" x14ac:dyDescent="0.45">
      <c r="B38" s="39" t="s">
        <v>79</v>
      </c>
      <c r="C38" s="35" t="str">
        <f>[38]Hoja1!$A$1</f>
        <v>008-03051</v>
      </c>
      <c r="D38" s="36" t="str">
        <f>[38]Hoja1!$C$1</f>
        <v>junta de  cabeza LL</v>
      </c>
      <c r="E38" s="36">
        <f>[38]Hoja1!$I$1</f>
        <v>1</v>
      </c>
      <c r="F38" s="36">
        <f>[38]Hoja1!$I$2</f>
        <v>1</v>
      </c>
      <c r="G38" s="36">
        <f>[38]Hoja1!$E$22</f>
        <v>102</v>
      </c>
      <c r="H38" s="36">
        <f>[38]Hoja1!$H$22</f>
        <v>4</v>
      </c>
      <c r="I38" s="36">
        <f t="shared" si="0"/>
        <v>106</v>
      </c>
      <c r="J38" s="37">
        <f>MAX([38]Hoja1!$A$5:$A$22)</f>
        <v>44122</v>
      </c>
      <c r="K38" s="38" t="str">
        <f>IF(ISTEXT([38]Hoja1!$A$23),[38]Hoja1!$A$23,"")</f>
        <v/>
      </c>
    </row>
    <row r="39" spans="2:11" x14ac:dyDescent="0.45">
      <c r="B39" s="39" t="s">
        <v>80</v>
      </c>
      <c r="C39" s="35" t="str">
        <f>[39]Hoja1!$A$1</f>
        <v>008-03051C</v>
      </c>
      <c r="D39" s="36" t="str">
        <f>[39]Hoja1!$C$1</f>
        <v>junta de  cabeza - cobre - LL</v>
      </c>
      <c r="E39" s="36">
        <f>[39]Hoja1!$I$1</f>
        <v>1</v>
      </c>
      <c r="F39" s="36">
        <f>[39]Hoja1!$I$2</f>
        <v>1</v>
      </c>
      <c r="G39" s="36">
        <f>[39]Hoja1!$E$22</f>
        <v>45</v>
      </c>
      <c r="H39" s="36">
        <f>[39]Hoja1!$H$22</f>
        <v>42</v>
      </c>
      <c r="I39" s="36">
        <f t="shared" si="0"/>
        <v>87</v>
      </c>
      <c r="J39" s="37">
        <f>MAX([39]Hoja1!$A$5:$A$22)</f>
        <v>44115</v>
      </c>
      <c r="K39" s="38" t="str">
        <f>IF(ISTEXT([39]Hoja1!$A$23),[39]Hoja1!$A$23,"")</f>
        <v/>
      </c>
    </row>
    <row r="40" spans="2:11" x14ac:dyDescent="0.45">
      <c r="B40" s="39" t="s">
        <v>81</v>
      </c>
      <c r="C40" s="35" t="str">
        <f>[40]Hoja1!$A$1</f>
        <v>008-03053</v>
      </c>
      <c r="D40" s="36" t="str">
        <f>[40]Hoja1!$C$1</f>
        <v>resorte eje de balancines  LL</v>
      </c>
      <c r="E40" s="36">
        <f>[40]Hoja1!$I$1</f>
        <v>11</v>
      </c>
      <c r="F40" s="36">
        <f>[40]Hoja1!$I$2</f>
        <v>1</v>
      </c>
      <c r="G40" s="36">
        <f>[40]Hoja1!$E$22</f>
        <v>0</v>
      </c>
      <c r="H40" s="36">
        <f>[40]Hoja1!$H$22</f>
        <v>26</v>
      </c>
      <c r="I40" s="36">
        <f t="shared" si="0"/>
        <v>26</v>
      </c>
      <c r="J40" s="37">
        <f>MAX([40]Hoja1!$A$5:$A$22)</f>
        <v>44043</v>
      </c>
      <c r="K40" s="38" t="str">
        <f>IF(ISTEXT([40]Hoja1!$A$23),[40]Hoja1!$A$23,"")</f>
        <v xml:space="preserve">sin movimiento   -   </v>
      </c>
    </row>
    <row r="41" spans="2:11" x14ac:dyDescent="0.45">
      <c r="B41" s="39" t="s">
        <v>82</v>
      </c>
      <c r="C41" s="35" t="str">
        <f>[41]Hoja1!$A$1</f>
        <v>008-04003</v>
      </c>
      <c r="D41" s="36" t="str">
        <f>[41]Hoja1!$C$1</f>
        <v>perno  de pistón LL</v>
      </c>
      <c r="E41" s="36">
        <f>[41]Hoja1!$I$1</f>
        <v>1</v>
      </c>
      <c r="F41" s="36">
        <f>[41]Hoja1!$I$2</f>
        <v>1</v>
      </c>
      <c r="G41" s="36">
        <f>[41]Hoja1!$E$22</f>
        <v>2</v>
      </c>
      <c r="H41" s="36">
        <f>[41]Hoja1!$H$22</f>
        <v>14</v>
      </c>
      <c r="I41" s="36">
        <f t="shared" si="0"/>
        <v>16</v>
      </c>
      <c r="J41" s="37">
        <f>MAX([41]Hoja1!$A$5:$A$22)</f>
        <v>44089</v>
      </c>
      <c r="K41" s="38" t="str">
        <f>IF(ISTEXT([41]Hoja1!$A$23),[41]Hoja1!$A$23,"")</f>
        <v/>
      </c>
    </row>
    <row r="42" spans="2:11" x14ac:dyDescent="0.45">
      <c r="B42" s="39" t="s">
        <v>83</v>
      </c>
      <c r="C42" s="35" t="str">
        <f>[42]Hoja1!$A$1</f>
        <v>008-04006</v>
      </c>
      <c r="D42" s="36" t="str">
        <f>[42]Hoja1!$C$1</f>
        <v>bulón de biela  LL</v>
      </c>
      <c r="E42" s="36">
        <f>[42]Hoja1!$I$1</f>
        <v>1</v>
      </c>
      <c r="F42" s="36">
        <f>[42]Hoja1!$I$2</f>
        <v>1</v>
      </c>
      <c r="G42" s="36">
        <f>[42]Hoja1!$E$22</f>
        <v>2</v>
      </c>
      <c r="H42" s="36">
        <f>[42]Hoja1!$H$22</f>
        <v>8</v>
      </c>
      <c r="I42" s="36">
        <f t="shared" si="0"/>
        <v>10</v>
      </c>
      <c r="J42" s="37">
        <f>MAX([42]Hoja1!$A$5:$A$22)</f>
        <v>44094</v>
      </c>
      <c r="K42" s="38" t="str">
        <f>IF(ISTEXT([42]Hoja1!$A$23),[42]Hoja1!$A$23,"")</f>
        <v/>
      </c>
    </row>
    <row r="43" spans="2:11" x14ac:dyDescent="0.45">
      <c r="B43" s="39" t="s">
        <v>84</v>
      </c>
      <c r="C43" s="35" t="str">
        <f>[43]Hoja1!$A$1</f>
        <v>008-04007</v>
      </c>
      <c r="D43" s="36" t="str">
        <f>[43]Hoja1!$C$1</f>
        <v>buje de biela  LL</v>
      </c>
      <c r="E43" s="36">
        <f>[43]Hoja1!$I$1</f>
        <v>1</v>
      </c>
      <c r="F43" s="36">
        <f>[43]Hoja1!$I$2</f>
        <v>1</v>
      </c>
      <c r="G43" s="36">
        <f>[43]Hoja1!$E$22</f>
        <v>32</v>
      </c>
      <c r="H43" s="36">
        <f>[43]Hoja1!$H$22</f>
        <v>30</v>
      </c>
      <c r="I43" s="36">
        <f t="shared" si="0"/>
        <v>62</v>
      </c>
      <c r="J43" s="37">
        <f>MAX([43]Hoja1!$A$5:$A$22)</f>
        <v>44043</v>
      </c>
      <c r="K43" s="38" t="str">
        <f>IF(ISTEXT([43]Hoja1!$A$23),[43]Hoja1!$A$23,"")</f>
        <v/>
      </c>
    </row>
    <row r="44" spans="2:11" x14ac:dyDescent="0.45">
      <c r="B44" s="39" t="s">
        <v>85</v>
      </c>
      <c r="C44" s="35" t="str">
        <f>[44]Hoja1!$A$1</f>
        <v>008-04010</v>
      </c>
      <c r="D44" s="36" t="str">
        <f>[44]Hoja1!$C$1</f>
        <v>seguro de perno de piston  LL</v>
      </c>
      <c r="E44" s="36">
        <f>[44]Hoja1!$I$1</f>
        <v>1</v>
      </c>
      <c r="F44" s="36">
        <f>[44]Hoja1!$I$2</f>
        <v>1</v>
      </c>
      <c r="G44" s="36">
        <f>[44]Hoja1!$E$22</f>
        <v>10</v>
      </c>
      <c r="H44" s="36">
        <f>[44]Hoja1!$H$22</f>
        <v>60</v>
      </c>
      <c r="I44" s="36">
        <f t="shared" si="0"/>
        <v>70</v>
      </c>
      <c r="J44" s="37">
        <f>MAX([44]Hoja1!$A$5:$A$22)</f>
        <v>44077</v>
      </c>
      <c r="K44" s="38" t="str">
        <f>IF(ISTEXT([44]Hoja1!$A$23),[44]Hoja1!$A$23,"")</f>
        <v/>
      </c>
    </row>
    <row r="45" spans="2:11" x14ac:dyDescent="0.45">
      <c r="B45" s="39" t="s">
        <v>86</v>
      </c>
      <c r="C45" s="35" t="str">
        <f>[45]Hoja1!$A$1</f>
        <v>008-04012</v>
      </c>
      <c r="D45" s="36" t="str">
        <f>[45]Hoja1!$C$1</f>
        <v>paleta salpicadora de biela 8/1</v>
      </c>
      <c r="E45" s="36">
        <f>[45]Hoja1!$I$1</f>
        <v>1</v>
      </c>
      <c r="F45" s="36">
        <f>[45]Hoja1!$I$2</f>
        <v>1</v>
      </c>
      <c r="G45" s="36">
        <f>[45]Hoja1!$E$22</f>
        <v>2</v>
      </c>
      <c r="H45" s="36">
        <f>[45]Hoja1!$H$22</f>
        <v>28</v>
      </c>
      <c r="I45" s="36">
        <f t="shared" si="0"/>
        <v>30</v>
      </c>
      <c r="J45" s="37">
        <f>MAX([45]Hoja1!$A$5:$A$22)</f>
        <v>44094</v>
      </c>
      <c r="K45" s="38" t="str">
        <f>IF(ISTEXT([45]Hoja1!$A$23),[45]Hoja1!$A$23,"")</f>
        <v/>
      </c>
    </row>
    <row r="46" spans="2:11" x14ac:dyDescent="0.45">
      <c r="B46" s="45" t="s">
        <v>87</v>
      </c>
      <c r="C46" s="35" t="str">
        <f>[46]Hoja1!$A$1</f>
        <v>008-04025/20</v>
      </c>
      <c r="D46" s="36" t="str">
        <f>[46]Hoja1!$C$1</f>
        <v>piston +0,020"   8/1</v>
      </c>
      <c r="E46" s="36">
        <f>[46]Hoja1!$I$1</f>
        <v>1</v>
      </c>
      <c r="F46" s="36">
        <f>[46]Hoja1!$I$2</f>
        <v>1</v>
      </c>
      <c r="G46" s="36">
        <f>[46]Hoja1!$E$22</f>
        <v>5</v>
      </c>
      <c r="H46" s="36">
        <f>[46]Hoja1!$H$22</f>
        <v>5</v>
      </c>
      <c r="I46" s="36">
        <f t="shared" si="0"/>
        <v>10</v>
      </c>
      <c r="J46" s="37">
        <f>MAX([46]Hoja1!$A$5:$A$22)</f>
        <v>44098</v>
      </c>
      <c r="K46" s="38" t="str">
        <f>IF(ISTEXT([46]Hoja1!$A$23),[46]Hoja1!$A$23,"")</f>
        <v/>
      </c>
    </row>
    <row r="47" spans="2:11" x14ac:dyDescent="0.45">
      <c r="B47" s="45" t="s">
        <v>88</v>
      </c>
      <c r="C47" s="35" t="str">
        <f>[47]Hoja1!$A$1</f>
        <v>008-04025/40</v>
      </c>
      <c r="D47" s="36" t="str">
        <f>[47]Hoja1!$C$1</f>
        <v>piston std   8/1</v>
      </c>
      <c r="E47" s="36">
        <f>[47]Hoja1!$I$1</f>
        <v>1</v>
      </c>
      <c r="F47" s="36">
        <f>[47]Hoja1!$I$2</f>
        <v>1</v>
      </c>
      <c r="G47" s="36">
        <f>[47]Hoja1!$E$22</f>
        <v>4</v>
      </c>
      <c r="H47" s="36">
        <f>[47]Hoja1!$H$22</f>
        <v>3</v>
      </c>
      <c r="I47" s="36">
        <f t="shared" si="0"/>
        <v>7</v>
      </c>
      <c r="J47" s="37">
        <f>MAX([47]Hoja1!$A$5:$A$22)</f>
        <v>44098</v>
      </c>
      <c r="K47" s="38" t="str">
        <f>IF(ISTEXT([47]Hoja1!$A$23),[47]Hoja1!$A$23,"")</f>
        <v/>
      </c>
    </row>
    <row r="48" spans="2:11" x14ac:dyDescent="0.45">
      <c r="B48" s="39" t="s">
        <v>89</v>
      </c>
      <c r="C48" s="35" t="str">
        <f>[48]Hoja1!$A$1</f>
        <v>008-04025</v>
      </c>
      <c r="D48" s="36" t="str">
        <f>[48]Hoja1!$C$1</f>
        <v>piston std   8/1</v>
      </c>
      <c r="E48" s="36">
        <f>[48]Hoja1!$I$1</f>
        <v>1</v>
      </c>
      <c r="F48" s="36">
        <f>[48]Hoja1!$I$2</f>
        <v>1</v>
      </c>
      <c r="G48" s="36">
        <f>[48]Hoja1!$E$22</f>
        <v>11</v>
      </c>
      <c r="H48" s="36">
        <f>[48]Hoja1!$H$22</f>
        <v>2</v>
      </c>
      <c r="I48" s="36">
        <f t="shared" si="0"/>
        <v>13</v>
      </c>
      <c r="J48" s="37">
        <f>MAX([48]Hoja1!$A$5:$A$22)</f>
        <v>44098</v>
      </c>
      <c r="K48" s="38" t="str">
        <f>IF(ISTEXT([48]Hoja1!$A$23),[48]Hoja1!$A$23,"")</f>
        <v/>
      </c>
    </row>
    <row r="49" spans="2:11" x14ac:dyDescent="0.45">
      <c r="B49" s="39" t="s">
        <v>90</v>
      </c>
      <c r="C49" s="35" t="str">
        <f>[49]Hoja1!$A$1</f>
        <v>008-05002</v>
      </c>
      <c r="D49" s="36" t="str">
        <f>[49]Hoja1!$C$1</f>
        <v>piñon del cigüeñal LL</v>
      </c>
      <c r="E49" s="36">
        <f>[49]Hoja1!$I$1</f>
        <v>1</v>
      </c>
      <c r="F49" s="36">
        <f>[49]Hoja1!$I$2</f>
        <v>1</v>
      </c>
      <c r="G49" s="36">
        <f>[49]Hoja1!$E$22</f>
        <v>2</v>
      </c>
      <c r="H49" s="36">
        <f>[49]Hoja1!$H$22</f>
        <v>30</v>
      </c>
      <c r="I49" s="36">
        <f t="shared" si="0"/>
        <v>32</v>
      </c>
      <c r="J49" s="37">
        <f>MAX([49]Hoja1!$A$5:$A$22)</f>
        <v>44043</v>
      </c>
      <c r="K49" s="38" t="str">
        <f>IF(ISTEXT([49]Hoja1!$A$23),[49]Hoja1!$A$23,"")</f>
        <v/>
      </c>
    </row>
    <row r="50" spans="2:11" x14ac:dyDescent="0.45">
      <c r="B50" s="39" t="s">
        <v>91</v>
      </c>
      <c r="C50" s="35" t="str">
        <f>[50]Hoja1!$A$1</f>
        <v>008-06002B</v>
      </c>
      <c r="D50" s="36" t="str">
        <f>[50]Hoja1!$C$1</f>
        <v>buje de a de levas LL</v>
      </c>
      <c r="E50" s="36">
        <f>[50]Hoja1!$I$1</f>
        <v>1</v>
      </c>
      <c r="F50" s="36">
        <f>[50]Hoja1!$I$2</f>
        <v>1</v>
      </c>
      <c r="G50" s="36">
        <f>[50]Hoja1!$E$22</f>
        <v>32</v>
      </c>
      <c r="H50" s="36">
        <f>[50]Hoja1!$H$22</f>
        <v>6</v>
      </c>
      <c r="I50" s="36">
        <f t="shared" si="0"/>
        <v>38</v>
      </c>
      <c r="J50" s="37">
        <f>MAX([50]Hoja1!$A$5:$A$22)</f>
        <v>44094</v>
      </c>
      <c r="K50" s="38" t="str">
        <f>IF(ISTEXT([50]Hoja1!$A$23),[50]Hoja1!$A$23,"")</f>
        <v/>
      </c>
    </row>
    <row r="51" spans="2:11" x14ac:dyDescent="0.45">
      <c r="B51" s="39" t="s">
        <v>92</v>
      </c>
      <c r="C51" s="35" t="str">
        <f>[51]Hoja1!$A$1</f>
        <v>008-06056</v>
      </c>
      <c r="D51" s="36" t="str">
        <f>[51]Hoja1!$C$1</f>
        <v>palanca superio</v>
      </c>
      <c r="E51" s="36">
        <f>[51]Hoja1!$I$1</f>
        <v>1</v>
      </c>
      <c r="F51" s="36">
        <f>[51]Hoja1!$I$2</f>
        <v>1</v>
      </c>
      <c r="G51" s="36">
        <f>[51]Hoja1!$E$22</f>
        <v>0</v>
      </c>
      <c r="H51" s="36">
        <f>[51]Hoja1!$H$22</f>
        <v>4</v>
      </c>
      <c r="I51" s="36">
        <f t="shared" si="0"/>
        <v>4</v>
      </c>
      <c r="J51" s="37">
        <f>MAX([51]Hoja1!$A$5:$A$22)</f>
        <v>44043</v>
      </c>
      <c r="K51" s="38" t="str">
        <f>IF(ISTEXT([51]Hoja1!$A$23),[51]Hoja1!$A$23,"")</f>
        <v>hay hotras 13 B</v>
      </c>
    </row>
    <row r="52" spans="2:11" x14ac:dyDescent="0.45">
      <c r="B52" s="45" t="s">
        <v>93</v>
      </c>
      <c r="C52" s="35" t="str">
        <f>[52]Hoja1!$A$1</f>
        <v>008-06078B</v>
      </c>
      <c r="D52" s="36" t="str">
        <f>[52]Hoja1!$C$1</f>
        <v>palanca inferior</v>
      </c>
      <c r="E52" s="36">
        <f>[52]Hoja1!$I$1</f>
        <v>1</v>
      </c>
      <c r="F52" s="36">
        <f>[52]Hoja1!$I$2</f>
        <v>1</v>
      </c>
      <c r="G52" s="36">
        <f>[52]Hoja1!$E$22</f>
        <v>0</v>
      </c>
      <c r="H52" s="36">
        <f>[52]Hoja1!$H$22</f>
        <v>14</v>
      </c>
      <c r="I52" s="36">
        <f t="shared" si="0"/>
        <v>14</v>
      </c>
      <c r="J52" s="37">
        <f>MAX([52]Hoja1!$A$5:$A$22)</f>
        <v>44043</v>
      </c>
      <c r="K52" s="38" t="str">
        <f>IF(ISTEXT([52]Hoja1!$A$23),[52]Hoja1!$A$23,"")</f>
        <v/>
      </c>
    </row>
    <row r="53" spans="2:11" x14ac:dyDescent="0.45">
      <c r="B53" s="39" t="s">
        <v>94</v>
      </c>
      <c r="C53" s="35" t="str">
        <f>[53]Hoja1!$A$1</f>
        <v>008-06106</v>
      </c>
      <c r="D53" s="36" t="str">
        <f>[53]Hoja1!$C$1</f>
        <v>cotrapeso del regulador</v>
      </c>
      <c r="E53" s="36">
        <f>[53]Hoja1!$I$1</f>
        <v>1</v>
      </c>
      <c r="F53" s="36">
        <f>[53]Hoja1!$I$2</f>
        <v>1</v>
      </c>
      <c r="G53" s="36">
        <f>[53]Hoja1!$E$22</f>
        <v>60</v>
      </c>
      <c r="H53" s="36">
        <f>[53]Hoja1!$H$22</f>
        <v>0</v>
      </c>
      <c r="I53" s="36">
        <f t="shared" si="0"/>
        <v>60</v>
      </c>
      <c r="J53" s="37">
        <f>MAX([53]Hoja1!$A$5:$A$22)</f>
        <v>44094</v>
      </c>
      <c r="K53" s="38" t="str">
        <f>IF(ISTEXT([53]Hoja1!$A$23),[53]Hoja1!$A$23,"")</f>
        <v/>
      </c>
    </row>
    <row r="54" spans="2:11" x14ac:dyDescent="0.45">
      <c r="B54" s="39" t="s">
        <v>95</v>
      </c>
      <c r="C54" s="35" t="str">
        <f>[54]Hoja1!$A$1</f>
        <v>008-24165</v>
      </c>
      <c r="D54" s="36" t="str">
        <f>[54]Hoja1!$C$1</f>
        <v>buje de balancin  LL</v>
      </c>
      <c r="E54" s="36">
        <f>[54]Hoja1!$I$1</f>
        <v>1</v>
      </c>
      <c r="F54" s="36">
        <f>[54]Hoja1!$I$2</f>
        <v>1</v>
      </c>
      <c r="G54" s="36">
        <f>[54]Hoja1!$E$22</f>
        <v>6</v>
      </c>
      <c r="H54" s="36">
        <f>[54]Hoja1!$H$22</f>
        <v>9</v>
      </c>
      <c r="I54" s="36">
        <f t="shared" si="0"/>
        <v>15</v>
      </c>
      <c r="J54" s="37">
        <f>MAX([54]Hoja1!$A$5:$A$22)</f>
        <v>44088</v>
      </c>
      <c r="K54" s="38" t="str">
        <f>IF(ISTEXT([54]Hoja1!$A$23),[54]Hoja1!$A$23,"")</f>
        <v/>
      </c>
    </row>
    <row r="55" spans="2:11" x14ac:dyDescent="0.45">
      <c r="B55" s="39" t="s">
        <v>96</v>
      </c>
      <c r="C55" s="35" t="str">
        <f>[55]Hoja1!$A$1</f>
        <v>008-24227B</v>
      </c>
      <c r="D55" s="36" t="str">
        <f>[55]Hoja1!$C$1</f>
        <v>manguito del regulador</v>
      </c>
      <c r="E55" s="36">
        <f>[55]Hoja1!$I$1</f>
        <v>1</v>
      </c>
      <c r="F55" s="36">
        <f>[55]Hoja1!$I$2</f>
        <v>1</v>
      </c>
      <c r="G55" s="36">
        <f>[55]Hoja1!$E$22</f>
        <v>0</v>
      </c>
      <c r="H55" s="36">
        <f>[55]Hoja1!$H$22</f>
        <v>9</v>
      </c>
      <c r="I55" s="36">
        <f t="shared" si="0"/>
        <v>9</v>
      </c>
      <c r="J55" s="37">
        <f>MAX([55]Hoja1!$A$5:$A$22)</f>
        <v>44094</v>
      </c>
      <c r="K55" s="38" t="str">
        <f>IF(ISTEXT([55]Hoja1!$A$23),[55]Hoja1!$A$23,"")</f>
        <v>cantidad a revisar</v>
      </c>
    </row>
    <row r="56" spans="2:11" x14ac:dyDescent="0.45">
      <c r="B56" s="39" t="s">
        <v>97</v>
      </c>
      <c r="C56" s="35" t="str">
        <f>[56]Hoja1!$A$1</f>
        <v>008-24239F</v>
      </c>
      <c r="D56" s="36" t="str">
        <f>[56]Hoja1!$C$1</f>
        <v xml:space="preserve">   junta entre carter y cilindro F }</v>
      </c>
      <c r="E56" s="36">
        <f>[56]Hoja1!$I$1</f>
        <v>1</v>
      </c>
      <c r="F56" s="36">
        <f>[56]Hoja1!$I$2</f>
        <v>1</v>
      </c>
      <c r="G56" s="36">
        <f>[56]Hoja1!$E$22</f>
        <v>116</v>
      </c>
      <c r="H56" s="36">
        <f>[56]Hoja1!$H$22</f>
        <v>9</v>
      </c>
      <c r="I56" s="36">
        <f t="shared" si="0"/>
        <v>125</v>
      </c>
      <c r="J56" s="37">
        <f>MAX([56]Hoja1!$A$5:$A$22)</f>
        <v>44076</v>
      </c>
      <c r="K56" s="38" t="str">
        <f>IF(ISTEXT([56]Hoja1!$A$23),[56]Hoja1!$A$23,"")</f>
        <v>cantidad a revisar</v>
      </c>
    </row>
    <row r="57" spans="2:11" x14ac:dyDescent="0.45">
      <c r="B57" s="39" t="s">
        <v>98</v>
      </c>
      <c r="C57" s="35" t="str">
        <f>[57]Hoja1!$A$1</f>
        <v>008-24239G</v>
      </c>
      <c r="D57" s="36" t="str">
        <f>[57]Hoja1!$C$1</f>
        <v xml:space="preserve">   junta entre carter y cilindro G</v>
      </c>
      <c r="E57" s="36">
        <f>[57]Hoja1!$I$1</f>
        <v>1</v>
      </c>
      <c r="F57" s="36">
        <f>[57]Hoja1!$I$2</f>
        <v>1</v>
      </c>
      <c r="G57" s="36">
        <f>[57]Hoja1!$E$22</f>
        <v>118</v>
      </c>
      <c r="H57" s="36">
        <f>[57]Hoja1!$H$22</f>
        <v>9</v>
      </c>
      <c r="I57" s="36">
        <f t="shared" si="0"/>
        <v>127</v>
      </c>
      <c r="J57" s="37">
        <f>MAX([57]Hoja1!$A$5:$A$22)</f>
        <v>44076</v>
      </c>
      <c r="K57" s="38" t="str">
        <f>IF(ISTEXT([57]Hoja1!$A$23),[57]Hoja1!$A$23,"")</f>
        <v>cantidad a revisar</v>
      </c>
    </row>
    <row r="58" spans="2:11" x14ac:dyDescent="0.45">
      <c r="B58" s="39" t="s">
        <v>99</v>
      </c>
      <c r="C58" s="35" t="str">
        <f>[58]Hoja1!$A$1</f>
        <v>008-24249</v>
      </c>
      <c r="D58" s="36" t="str">
        <f>[58]Hoja1!$C$1</f>
        <v xml:space="preserve">paleta salpicadora 8/1   </v>
      </c>
      <c r="E58" s="36">
        <f>[58]Hoja1!$I$1</f>
        <v>1</v>
      </c>
      <c r="F58" s="36">
        <f>[58]Hoja1!$I$2</f>
        <v>1</v>
      </c>
      <c r="G58" s="36">
        <f>[58]Hoja1!$E$22</f>
        <v>0</v>
      </c>
      <c r="H58" s="36">
        <f>[58]Hoja1!$H$22</f>
        <v>150</v>
      </c>
      <c r="I58" s="36">
        <f t="shared" si="0"/>
        <v>150</v>
      </c>
      <c r="J58" s="37">
        <f>MAX([58]Hoja1!$A$5:$A$22)</f>
        <v>44088</v>
      </c>
      <c r="K58" s="38" t="str">
        <f>IF(ISTEXT([58]Hoja1!$A$23),[58]Hoja1!$A$23,"")</f>
        <v>cantidad a revisar</v>
      </c>
    </row>
    <row r="59" spans="2:11" x14ac:dyDescent="0.45">
      <c r="B59" s="39" t="s">
        <v>100</v>
      </c>
      <c r="C59" s="35" t="str">
        <f>[59]Hoja1!$A$1</f>
        <v>008-24256CA</v>
      </c>
      <c r="D59" s="36" t="str">
        <f>[59]Hoja1!$C$1</f>
        <v>camisa de cilindro lisa LL</v>
      </c>
      <c r="E59" s="36">
        <f>[59]Hoja1!$I$1</f>
        <v>1</v>
      </c>
      <c r="F59" s="36">
        <f>[59]Hoja1!$I$2</f>
        <v>1</v>
      </c>
      <c r="G59" s="36">
        <f>[59]Hoja1!$E$22</f>
        <v>11</v>
      </c>
      <c r="H59" s="36">
        <f>[59]Hoja1!$H$22</f>
        <v>0</v>
      </c>
      <c r="I59" s="36">
        <f t="shared" si="0"/>
        <v>11</v>
      </c>
      <c r="J59" s="37">
        <f>MAX([59]Hoja1!$A$5:$A$22)</f>
        <v>44089</v>
      </c>
      <c r="K59" s="38" t="str">
        <f>IF(ISTEXT([59]Hoja1!$A$23),[59]Hoja1!$A$23,"")</f>
        <v/>
      </c>
    </row>
    <row r="60" spans="2:11" x14ac:dyDescent="0.45">
      <c r="B60" s="39" t="s">
        <v>101</v>
      </c>
      <c r="C60" s="35" t="str">
        <f>[60]Hoja1!$A$1</f>
        <v>008-30006</v>
      </c>
      <c r="D60" s="36" t="str">
        <f>[60]Hoja1!$C$1</f>
        <v>o ring guiaVA</v>
      </c>
      <c r="E60" s="36">
        <f>[60]Hoja1!$I$1</f>
        <v>1</v>
      </c>
      <c r="F60" s="36">
        <f>[60]Hoja1!$I$2</f>
        <v>1</v>
      </c>
      <c r="G60" s="36">
        <f>[60]Hoja1!$E$22</f>
        <v>0</v>
      </c>
      <c r="H60" s="36">
        <f>[60]Hoja1!$H$22</f>
        <v>0</v>
      </c>
      <c r="I60" s="36">
        <f t="shared" si="0"/>
        <v>0</v>
      </c>
      <c r="J60" s="37">
        <f>MAX([60]Hoja1!$A$5:$A$22)</f>
        <v>44088</v>
      </c>
      <c r="K60" s="38" t="str">
        <f>IF(ISTEXT([60]Hoja1!$A$23),[60]Hoja1!$A$23,"")</f>
        <v/>
      </c>
    </row>
    <row r="61" spans="2:11" x14ac:dyDescent="0.45">
      <c r="B61" s="39" t="s">
        <v>102</v>
      </c>
      <c r="C61" s="35" t="str">
        <f>[61]Hoja1!$A$1</f>
        <v>008-30035</v>
      </c>
      <c r="D61" s="36" t="str">
        <f>[61]Hoja1!$C$1</f>
        <v>o ring manguito iny VA</v>
      </c>
      <c r="E61" s="36">
        <f>[61]Hoja1!$I$1</f>
        <v>1</v>
      </c>
      <c r="F61" s="36">
        <f>[61]Hoja1!$I$2</f>
        <v>1</v>
      </c>
      <c r="G61" s="36">
        <f>[61]Hoja1!$E$22</f>
        <v>9</v>
      </c>
      <c r="H61" s="36">
        <f>[61]Hoja1!$H$22</f>
        <v>58</v>
      </c>
      <c r="I61" s="36">
        <f t="shared" si="0"/>
        <v>67</v>
      </c>
      <c r="J61" s="37">
        <f>MAX([61]Hoja1!$A$5:$A$22)</f>
        <v>44088</v>
      </c>
      <c r="K61" s="38" t="str">
        <f>IF(ISTEXT([61]Hoja1!$A$23),[61]Hoja1!$A$23,"")</f>
        <v/>
      </c>
    </row>
    <row r="62" spans="2:11" x14ac:dyDescent="0.45">
      <c r="B62" s="39" t="s">
        <v>103</v>
      </c>
      <c r="C62" s="35" t="str">
        <f>[62]Hoja1!$A$1</f>
        <v>008-30060</v>
      </c>
      <c r="D62" s="36" t="str">
        <f>[62]Hoja1!$C$1</f>
        <v>caño de inyeccion LL</v>
      </c>
      <c r="E62" s="36">
        <f>[62]Hoja1!$I$1</f>
        <v>1</v>
      </c>
      <c r="F62" s="36">
        <f>[62]Hoja1!$I$2</f>
        <v>1</v>
      </c>
      <c r="G62" s="36">
        <f>[62]Hoja1!$E$22</f>
        <v>3</v>
      </c>
      <c r="H62" s="36">
        <f>[62]Hoja1!$H$22</f>
        <v>12</v>
      </c>
      <c r="I62" s="36">
        <f t="shared" si="0"/>
        <v>15</v>
      </c>
      <c r="J62" s="37">
        <f>MAX([62]Hoja1!$A$5:$A$22)</f>
        <v>44125</v>
      </c>
      <c r="K62" s="38" t="str">
        <f>IF(ISTEXT([62]Hoja1!$A$23),[62]Hoja1!$A$23,"")</f>
        <v/>
      </c>
    </row>
    <row r="63" spans="2:11" x14ac:dyDescent="0.45">
      <c r="B63" s="39" t="s">
        <v>104</v>
      </c>
      <c r="C63" s="35" t="str">
        <f>[63]Hoja1!$A$1</f>
        <v>008-30175</v>
      </c>
      <c r="D63" s="36" t="str">
        <f>[63]Hoja1!$C$1</f>
        <v>embolo buzo de bba aceite 8/1</v>
      </c>
      <c r="E63" s="36">
        <f>[63]Hoja1!$I$1</f>
        <v>1</v>
      </c>
      <c r="F63" s="36">
        <f>[63]Hoja1!$I$2</f>
        <v>1</v>
      </c>
      <c r="G63" s="36">
        <f>[63]Hoja1!$E$22</f>
        <v>6</v>
      </c>
      <c r="H63" s="36">
        <f>[63]Hoja1!$H$22</f>
        <v>22</v>
      </c>
      <c r="I63" s="36">
        <f t="shared" si="0"/>
        <v>28</v>
      </c>
      <c r="J63" s="37">
        <f>MAX([63]Hoja1!$A$5:$A$22)</f>
        <v>44121</v>
      </c>
      <c r="K63" s="38" t="str">
        <f>IF(ISTEXT([63]Hoja1!$A$23),[63]Hoja1!$A$23,"")</f>
        <v>cantidad a revisar</v>
      </c>
    </row>
    <row r="64" spans="2:11" x14ac:dyDescent="0.45">
      <c r="B64" s="39" t="s">
        <v>105</v>
      </c>
      <c r="C64" s="35" t="str">
        <f>[64]Hoja1!$A$1</f>
        <v>009-06003</v>
      </c>
      <c r="D64" s="36" t="str">
        <f>[64]Hoja1!$C$1</f>
        <v>buje de cubierta a de levas</v>
      </c>
      <c r="E64" s="36">
        <f>[64]Hoja1!$I$1</f>
        <v>1</v>
      </c>
      <c r="F64" s="36">
        <f>[64]Hoja1!$I$2</f>
        <v>1</v>
      </c>
      <c r="G64" s="36">
        <f>[64]Hoja1!$E$22</f>
        <v>3</v>
      </c>
      <c r="H64" s="36">
        <f>[64]Hoja1!$H$22</f>
        <v>20</v>
      </c>
      <c r="I64" s="36">
        <f t="shared" si="0"/>
        <v>23</v>
      </c>
      <c r="J64" s="37">
        <f>MAX([64]Hoja1!$A$5:$A$22)</f>
        <v>44088</v>
      </c>
      <c r="K64" s="38" t="str">
        <f>IF(ISTEXT([64]Hoja1!$A$23),[64]Hoja1!$A$23,"")</f>
        <v/>
      </c>
    </row>
    <row r="65" spans="2:11" x14ac:dyDescent="0.45">
      <c r="B65" s="39" t="s">
        <v>106</v>
      </c>
      <c r="C65" s="35" t="str">
        <f>[65]Hoja1!$A$1</f>
        <v>009-06087</v>
      </c>
      <c r="D65" s="36" t="str">
        <f>[65]Hoja1!$C$1</f>
        <v>palanca inferior 16/2 - corta</v>
      </c>
      <c r="E65" s="36">
        <f>[65]Hoja1!$I$1</f>
        <v>1</v>
      </c>
      <c r="F65" s="36">
        <f>[65]Hoja1!$I$2</f>
        <v>1</v>
      </c>
      <c r="G65" s="36">
        <f>[65]Hoja1!$E$22</f>
        <v>0</v>
      </c>
      <c r="H65" s="36">
        <f>[65]Hoja1!$H$22</f>
        <v>20</v>
      </c>
      <c r="I65" s="36">
        <f t="shared" si="0"/>
        <v>20</v>
      </c>
      <c r="J65" s="37">
        <f>MAX([65]Hoja1!$A$5:$A$22)</f>
        <v>44043</v>
      </c>
      <c r="K65" s="38" t="str">
        <f>IF(ISTEXT([65]Hoja1!$A$23),[65]Hoja1!$A$23,"")</f>
        <v/>
      </c>
    </row>
    <row r="66" spans="2:11" x14ac:dyDescent="0.45">
      <c r="B66" s="39" t="s">
        <v>107</v>
      </c>
      <c r="C66" s="35" t="str">
        <f>[66]Hoja1!$A$1</f>
        <v>010-02059</v>
      </c>
      <c r="D66" s="36" t="str">
        <f>[66]Hoja1!$C$1</f>
        <v>junta de brida de agua LL</v>
      </c>
      <c r="E66" s="36">
        <f>[66]Hoja1!$I$1</f>
        <v>1</v>
      </c>
      <c r="F66" s="36">
        <f>[66]Hoja1!$I$2</f>
        <v>1</v>
      </c>
      <c r="G66" s="36">
        <f>[66]Hoja1!$E$22</f>
        <v>15</v>
      </c>
      <c r="H66" s="36">
        <f>[66]Hoja1!$H$22</f>
        <v>15</v>
      </c>
      <c r="I66" s="36">
        <f t="shared" si="0"/>
        <v>30</v>
      </c>
      <c r="J66" s="37">
        <f>MAX([66]Hoja1!$A$5:$A$22)</f>
        <v>44088</v>
      </c>
      <c r="K66" s="38" t="str">
        <f>IF(ISTEXT([66]Hoja1!$A$23),[66]Hoja1!$A$23,"")</f>
        <v/>
      </c>
    </row>
    <row r="67" spans="2:11" x14ac:dyDescent="0.45">
      <c r="B67" s="39" t="s">
        <v>108</v>
      </c>
      <c r="C67" s="35" t="str">
        <f>[67]Hoja1!$A$1</f>
        <v>010-03015</v>
      </c>
      <c r="D67" s="36" t="str">
        <f>[67]Hoja1!$C$1</f>
        <v>golpeador de balancin LL</v>
      </c>
      <c r="E67" s="36">
        <f>[67]Hoja1!$I$1</f>
        <v>1</v>
      </c>
      <c r="F67" s="36">
        <f>[67]Hoja1!$I$2</f>
        <v>1</v>
      </c>
      <c r="G67" s="36">
        <f>[67]Hoja1!$E$22</f>
        <v>5</v>
      </c>
      <c r="H67" s="36">
        <f>[67]Hoja1!$H$22</f>
        <v>10</v>
      </c>
      <c r="I67" s="36">
        <f t="shared" ref="I67:I130" si="1">SUM(G67:H67)</f>
        <v>15</v>
      </c>
      <c r="J67" s="37">
        <f>MAX([67]Hoja1!$A$5:$A$22)</f>
        <v>44088</v>
      </c>
      <c r="K67" s="38" t="str">
        <f>IF(ISTEXT([67]Hoja1!$A$23),[67]Hoja1!$A$23,"")</f>
        <v/>
      </c>
    </row>
    <row r="68" spans="2:11" x14ac:dyDescent="0.45">
      <c r="B68" s="45" t="s">
        <v>109</v>
      </c>
      <c r="C68" s="35" t="str">
        <f>[68]Hoja1!$A$1</f>
        <v>010-03023B</v>
      </c>
      <c r="D68" s="36" t="str">
        <f>[68]Hoja1!$C$1</f>
        <v>tapa de vastago de valvula LL</v>
      </c>
      <c r="E68" s="36">
        <f>[68]Hoja1!$I$1</f>
        <v>1</v>
      </c>
      <c r="F68" s="36">
        <f>[68]Hoja1!$I$2</f>
        <v>1</v>
      </c>
      <c r="G68" s="36">
        <f>[68]Hoja1!$E$22</f>
        <v>5</v>
      </c>
      <c r="H68" s="36">
        <f>[68]Hoja1!$H$22</f>
        <v>60</v>
      </c>
      <c r="I68" s="36">
        <f t="shared" si="1"/>
        <v>65</v>
      </c>
      <c r="J68" s="37">
        <f>MAX([68]Hoja1!$A$5:$A$22)</f>
        <v>44088</v>
      </c>
      <c r="K68" s="38" t="str">
        <f>IF(ISTEXT([68]Hoja1!$A$23),[68]Hoja1!$A$23,"")</f>
        <v>hay  aprox 20 naciales mas</v>
      </c>
    </row>
    <row r="69" spans="2:11" x14ac:dyDescent="0.45">
      <c r="B69" s="39" t="s">
        <v>110</v>
      </c>
      <c r="C69" s="35" t="str">
        <f>[69]Hoja1!$A$1</f>
        <v>010-03025</v>
      </c>
      <c r="D69" s="36" t="str">
        <f>[69]Hoja1!$C$1</f>
        <v>chaveta  de valvula LL</v>
      </c>
      <c r="E69" s="36">
        <f>[69]Hoja1!$I$1</f>
        <v>1</v>
      </c>
      <c r="F69" s="36">
        <f>[69]Hoja1!$I$2</f>
        <v>1</v>
      </c>
      <c r="G69" s="36">
        <f>[69]Hoja1!$E$22</f>
        <v>7</v>
      </c>
      <c r="H69" s="36">
        <f>[69]Hoja1!$H$22</f>
        <v>75</v>
      </c>
      <c r="I69" s="36">
        <f t="shared" si="1"/>
        <v>82</v>
      </c>
      <c r="J69" s="37">
        <f>MAX([69]Hoja1!$A$5:$A$22)</f>
        <v>44092</v>
      </c>
      <c r="K69" s="38" t="str">
        <f>IF(ISTEXT([69]Hoja1!$A$23),[69]Hoja1!$A$23,"")</f>
        <v>hay  aprox 20 naciales mas</v>
      </c>
    </row>
    <row r="70" spans="2:11" x14ac:dyDescent="0.45">
      <c r="B70" s="45" t="s">
        <v>111</v>
      </c>
      <c r="C70" s="35" t="str">
        <f>[70]Hoja1!$A$1</f>
        <v>010-03025</v>
      </c>
      <c r="D70" s="36" t="str">
        <f>[70]Hoja1!$C$1</f>
        <v>chaveta  de valvula LL</v>
      </c>
      <c r="E70" s="36">
        <f>[70]Hoja1!$I$1</f>
        <v>1</v>
      </c>
      <c r="F70" s="36">
        <f>[70]Hoja1!$I$2</f>
        <v>1</v>
      </c>
      <c r="G70" s="36">
        <f>[70]Hoja1!$E$22</f>
        <v>5</v>
      </c>
      <c r="H70" s="36">
        <f>[70]Hoja1!$H$22</f>
        <v>85</v>
      </c>
      <c r="I70" s="36">
        <f t="shared" si="1"/>
        <v>90</v>
      </c>
      <c r="J70" s="37">
        <f>MAX([70]Hoja1!$A$5:$A$22)</f>
        <v>44088</v>
      </c>
      <c r="K70" s="38" t="str">
        <f>IF(ISTEXT([70]Hoja1!$A$23),[70]Hoja1!$A$23,"")</f>
        <v>hay  aprox 20 naciales mas</v>
      </c>
    </row>
    <row r="71" spans="2:11" x14ac:dyDescent="0.45">
      <c r="B71" s="39" t="s">
        <v>112</v>
      </c>
      <c r="C71" s="35" t="str">
        <f>[71]Hoja1!$A$1</f>
        <v>010-03041</v>
      </c>
      <c r="D71" s="36" t="str">
        <f>[71]Hoja1!$C$1</f>
        <v>junta asiento de inyector LL</v>
      </c>
      <c r="E71" s="36">
        <f>[71]Hoja1!$I$1</f>
        <v>1</v>
      </c>
      <c r="F71" s="36">
        <f>[71]Hoja1!$I$2</f>
        <v>1</v>
      </c>
      <c r="G71" s="36">
        <f>[71]Hoja1!$E$22</f>
        <v>5</v>
      </c>
      <c r="H71" s="36">
        <f>[71]Hoja1!$H$22</f>
        <v>100</v>
      </c>
      <c r="I71" s="36">
        <f t="shared" si="1"/>
        <v>105</v>
      </c>
      <c r="J71" s="37">
        <f>MAX([71]Hoja1!$A$5:$A$22)</f>
        <v>44094</v>
      </c>
      <c r="K71" s="38" t="str">
        <f>IF(ISTEXT([71]Hoja1!$A$23),[71]Hoja1!$A$23,"")</f>
        <v xml:space="preserve">cantidad a revisar </v>
      </c>
    </row>
    <row r="72" spans="2:11" x14ac:dyDescent="0.45">
      <c r="B72" s="45" t="s">
        <v>113</v>
      </c>
      <c r="C72" s="35" t="str">
        <f>[72]Hoja1!$A$1</f>
        <v xml:space="preserve">010-03041X </v>
      </c>
      <c r="D72" s="36" t="str">
        <f>[72]Hoja1!$C$1</f>
        <v>junta filtro de combustible  LL</v>
      </c>
      <c r="E72" s="36">
        <f>[72]Hoja1!$I$1</f>
        <v>1</v>
      </c>
      <c r="F72" s="36">
        <f>[72]Hoja1!$I$2</f>
        <v>1</v>
      </c>
      <c r="G72" s="36">
        <f>[72]Hoja1!$E$22</f>
        <v>15</v>
      </c>
      <c r="H72" s="36">
        <f>[72]Hoja1!$H$22</f>
        <v>205</v>
      </c>
      <c r="I72" s="36">
        <f t="shared" si="1"/>
        <v>220</v>
      </c>
      <c r="J72" s="37">
        <f>MAX([72]Hoja1!$A$5:$A$22)</f>
        <v>44094</v>
      </c>
      <c r="K72" s="38" t="str">
        <f>IF(ISTEXT([72]Hoja1!$A$23),[72]Hoja1!$A$23,"")</f>
        <v xml:space="preserve">cantidad a revisar </v>
      </c>
    </row>
    <row r="73" spans="2:11" x14ac:dyDescent="0.45">
      <c r="B73" s="39" t="s">
        <v>114</v>
      </c>
      <c r="C73" s="35" t="str">
        <f>[73]Hoja1!$A$1</f>
        <v>010-03091</v>
      </c>
      <c r="D73" s="36" t="str">
        <f>[73]Hoja1!$C$1</f>
        <v>junta de tapon principa cab de cil  LL</v>
      </c>
      <c r="E73" s="36">
        <f>[73]Hoja1!$I$1</f>
        <v>1</v>
      </c>
      <c r="F73" s="36">
        <f>[73]Hoja1!$I$2</f>
        <v>1</v>
      </c>
      <c r="G73" s="36">
        <f>[73]Hoja1!$E$22</f>
        <v>5</v>
      </c>
      <c r="H73" s="36">
        <f>[73]Hoja1!$H$22</f>
        <v>90</v>
      </c>
      <c r="I73" s="36">
        <f t="shared" si="1"/>
        <v>95</v>
      </c>
      <c r="J73" s="37">
        <f>MAX([73]Hoja1!$A$5:$A$22)</f>
        <v>44104</v>
      </c>
      <c r="K73" s="38" t="str">
        <f>IF(ISTEXT([73]Hoja1!$A$23),[73]Hoja1!$A$23,"")</f>
        <v/>
      </c>
    </row>
    <row r="74" spans="2:11" x14ac:dyDescent="0.45">
      <c r="B74" s="45" t="s">
        <v>115</v>
      </c>
      <c r="C74" s="35" t="str">
        <f>[74]Hoja1!$A$1</f>
        <v>010-033121</v>
      </c>
      <c r="D74" s="36" t="str">
        <f>[74]Hoja1!$C$1</f>
        <v>valvula de adm y escape  LL</v>
      </c>
      <c r="E74" s="36">
        <f>[74]Hoja1!$I$1</f>
        <v>1</v>
      </c>
      <c r="F74" s="36">
        <f>[74]Hoja1!$I$2</f>
        <v>1</v>
      </c>
      <c r="G74" s="36">
        <f>[74]Hoja1!$E$22</f>
        <v>214</v>
      </c>
      <c r="H74" s="36">
        <f>[74]Hoja1!$H$22</f>
        <v>0</v>
      </c>
      <c r="I74" s="36">
        <f t="shared" si="1"/>
        <v>214</v>
      </c>
      <c r="J74" s="37">
        <f>MAX([74]Hoja1!$A$5:$A$22)</f>
        <v>44076</v>
      </c>
      <c r="K74" s="38" t="str">
        <f>IF(ISTEXT([74]Hoja1!$A$23),[74]Hoja1!$A$23,"")</f>
        <v/>
      </c>
    </row>
    <row r="75" spans="2:11" x14ac:dyDescent="0.45">
      <c r="B75" s="39" t="s">
        <v>116</v>
      </c>
      <c r="C75" s="35" t="str">
        <f>[75]Hoja1!$A$1</f>
        <v>010-03130</v>
      </c>
      <c r="D75" s="36" t="str">
        <f>[75]Hoja1!$C$1</f>
        <v>platillo porta resorte  LL</v>
      </c>
      <c r="E75" s="36">
        <f>[75]Hoja1!$I$1</f>
        <v>1</v>
      </c>
      <c r="F75" s="36">
        <f>[75]Hoja1!$I$2</f>
        <v>1</v>
      </c>
      <c r="G75" s="36">
        <f>[75]Hoja1!$E$22</f>
        <v>12</v>
      </c>
      <c r="H75" s="36">
        <f>[75]Hoja1!$H$22</f>
        <v>39</v>
      </c>
      <c r="I75" s="36">
        <f t="shared" si="1"/>
        <v>51</v>
      </c>
      <c r="J75" s="37">
        <f>MAX([75]Hoja1!$A$5:$A$22)</f>
        <v>44094</v>
      </c>
      <c r="K75" s="38" t="str">
        <f>IF(ISTEXT([75]Hoja1!$A$23),[75]Hoja1!$A$23,"")</f>
        <v/>
      </c>
    </row>
    <row r="76" spans="2:11" x14ac:dyDescent="0.45">
      <c r="B76" s="39" t="s">
        <v>117</v>
      </c>
      <c r="C76" s="35" t="str">
        <f>[76]Hoja1!$A$1</f>
        <v>010-06067</v>
      </c>
      <c r="D76" s="36" t="str">
        <f>[76]Hoja1!$C$1</f>
        <v>resorte de valvula esferica</v>
      </c>
      <c r="E76" s="36">
        <f>[76]Hoja1!$I$1</f>
        <v>1</v>
      </c>
      <c r="F76" s="36">
        <f>[76]Hoja1!$I$2</f>
        <v>1</v>
      </c>
      <c r="G76" s="36">
        <f>[76]Hoja1!$E$22</f>
        <v>23</v>
      </c>
      <c r="H76" s="36">
        <f>[76]Hoja1!$H$22</f>
        <v>15</v>
      </c>
      <c r="I76" s="36">
        <f t="shared" si="1"/>
        <v>38</v>
      </c>
      <c r="J76" s="37">
        <f>MAX([76]Hoja1!$A$5:$A$22)</f>
        <v>44088</v>
      </c>
      <c r="K76" s="38" t="str">
        <f>IF(ISTEXT([76]Hoja1!$A$23),[76]Hoja1!$A$23,"")</f>
        <v/>
      </c>
    </row>
    <row r="77" spans="2:11" x14ac:dyDescent="0.45">
      <c r="B77" s="39" t="s">
        <v>118</v>
      </c>
      <c r="C77" s="35" t="str">
        <f>[77]Hoja1!$A$1</f>
        <v>012-03129</v>
      </c>
      <c r="D77" s="36" t="str">
        <f>[77]Hoja1!$C$1</f>
        <v>resorte exterior</v>
      </c>
      <c r="E77" s="36">
        <f>[77]Hoja1!$I$1</f>
        <v>1</v>
      </c>
      <c r="F77" s="36">
        <f>[77]Hoja1!$I$2</f>
        <v>1</v>
      </c>
      <c r="G77" s="36">
        <f>[77]Hoja1!$E$22</f>
        <v>8</v>
      </c>
      <c r="H77" s="36">
        <f>[77]Hoja1!$H$22</f>
        <v>0</v>
      </c>
      <c r="I77" s="36">
        <f t="shared" si="1"/>
        <v>8</v>
      </c>
      <c r="J77" s="37">
        <f>MAX([77]Hoja1!$A$5:$A$22)</f>
        <v>44092</v>
      </c>
      <c r="K77" s="38" t="str">
        <f>IF(ISTEXT([77]Hoja1!$A$23),[77]Hoja1!$A$23,"")</f>
        <v/>
      </c>
    </row>
    <row r="78" spans="2:11" x14ac:dyDescent="0.45">
      <c r="B78" s="39" t="s">
        <v>119</v>
      </c>
      <c r="C78" s="35" t="str">
        <f>[78]Hoja1!$A$1</f>
        <v>012-03219</v>
      </c>
      <c r="D78" s="36" t="str">
        <f>[78]Hoja1!$C$1</f>
        <v>resorte interior de valvula LL</v>
      </c>
      <c r="E78" s="36">
        <f>[78]Hoja1!$I$1</f>
        <v>1</v>
      </c>
      <c r="F78" s="36">
        <f>[78]Hoja1!$I$2</f>
        <v>1</v>
      </c>
      <c r="G78" s="36">
        <f>[78]Hoja1!$E$22</f>
        <v>8</v>
      </c>
      <c r="H78" s="36">
        <f>[78]Hoja1!$H$22</f>
        <v>0</v>
      </c>
      <c r="I78" s="36">
        <f t="shared" si="1"/>
        <v>8</v>
      </c>
      <c r="J78" s="37">
        <f>MAX([78]Hoja1!$A$5:$A$22)</f>
        <v>44104</v>
      </c>
      <c r="K78" s="38" t="str">
        <f>IF(ISTEXT([78]Hoja1!$A$23),[78]Hoja1!$A$23,"")</f>
        <v/>
      </c>
    </row>
    <row r="79" spans="2:11" x14ac:dyDescent="0.45">
      <c r="B79" s="39" t="s">
        <v>120</v>
      </c>
      <c r="C79" s="35" t="str">
        <f>[79]Hoja1!$A$1</f>
        <v>021-00112</v>
      </c>
      <c r="D79" s="36" t="str">
        <f>[79]Hoja1!$C$1</f>
        <v>disco del respiradero</v>
      </c>
      <c r="E79" s="36">
        <f>[79]Hoja1!$I$1</f>
        <v>1</v>
      </c>
      <c r="F79" s="36">
        <f>[79]Hoja1!$I$2</f>
        <v>1</v>
      </c>
      <c r="G79" s="36">
        <f>[79]Hoja1!$E$22</f>
        <v>43</v>
      </c>
      <c r="H79" s="36">
        <f>[79]Hoja1!$H$22</f>
        <v>40</v>
      </c>
      <c r="I79" s="36">
        <f t="shared" si="1"/>
        <v>83</v>
      </c>
      <c r="J79" s="37">
        <f>MAX([79]Hoja1!$A$5:$A$22)</f>
        <v>44088</v>
      </c>
      <c r="K79" s="38" t="str">
        <f>IF(ISTEXT([79]Hoja1!$A$23),[79]Hoja1!$A$23,"")</f>
        <v/>
      </c>
    </row>
    <row r="80" spans="2:11" x14ac:dyDescent="0.45">
      <c r="B80" s="39" t="s">
        <v>121</v>
      </c>
      <c r="C80" s="35" t="str">
        <f>[80]Hoja1!$A$1</f>
        <v>023-00472</v>
      </c>
      <c r="D80" s="36" t="str">
        <f>[80]Hoja1!$C$1</f>
        <v>tornillo de union- negro LL</v>
      </c>
      <c r="E80" s="36">
        <f>[80]Hoja1!$I$1</f>
        <v>1</v>
      </c>
      <c r="F80" s="36">
        <f>[80]Hoja1!$I$2</f>
        <v>1</v>
      </c>
      <c r="G80" s="36">
        <f>[80]Hoja1!$E$22</f>
        <v>12</v>
      </c>
      <c r="H80" s="36">
        <f>[80]Hoja1!$H$22</f>
        <v>0</v>
      </c>
      <c r="I80" s="36">
        <f t="shared" si="1"/>
        <v>12</v>
      </c>
      <c r="J80" s="37">
        <f>MAX([80]Hoja1!$A$5:$A$22)</f>
        <v>44086</v>
      </c>
      <c r="K80" s="38" t="str">
        <f>IF(ISTEXT([80]Hoja1!$A$23),[80]Hoja1!$A$23,"")</f>
        <v/>
      </c>
    </row>
    <row r="81" spans="2:11" x14ac:dyDescent="0.45">
      <c r="B81" s="39" t="s">
        <v>122</v>
      </c>
      <c r="C81" s="35" t="str">
        <f>[81]Hoja1!$A$1</f>
        <v>023-00792</v>
      </c>
      <c r="D81" s="36" t="str">
        <f>[81]Hoja1!$C$1</f>
        <v>tobera LL</v>
      </c>
      <c r="E81" s="36">
        <f>[81]Hoja1!$I$1</f>
        <v>1</v>
      </c>
      <c r="F81" s="36">
        <f>[81]Hoja1!$I$2</f>
        <v>1</v>
      </c>
      <c r="G81" s="36">
        <f>[81]Hoja1!$E$22</f>
        <v>12</v>
      </c>
      <c r="H81" s="36">
        <f>[81]Hoja1!$H$22</f>
        <v>0</v>
      </c>
      <c r="I81" s="36">
        <f t="shared" si="1"/>
        <v>12</v>
      </c>
      <c r="J81" s="37">
        <f>MAX([81]Hoja1!$A$5:$A$22)</f>
        <v>44043</v>
      </c>
      <c r="K81" s="38" t="str">
        <f>IF(ISTEXT([81]Hoja1!$A$23),[81]Hoja1!$A$23,"")</f>
        <v/>
      </c>
    </row>
    <row r="82" spans="2:11" x14ac:dyDescent="0.45">
      <c r="B82" s="39" t="s">
        <v>123</v>
      </c>
      <c r="C82" s="35" t="str">
        <f>[82]Hoja1!$A$1</f>
        <v>026-00098</v>
      </c>
      <c r="D82" s="36" t="str">
        <f>[82]Hoja1!$C$1</f>
        <v>tornillo registro de valv. LL</v>
      </c>
      <c r="E82" s="36">
        <f>[82]Hoja1!$I$1</f>
        <v>1</v>
      </c>
      <c r="F82" s="36">
        <f>[82]Hoja1!$I$2</f>
        <v>1</v>
      </c>
      <c r="G82" s="36">
        <f>[82]Hoja1!$E$22</f>
        <v>16</v>
      </c>
      <c r="H82" s="36">
        <f>[82]Hoja1!$H$22</f>
        <v>60</v>
      </c>
      <c r="I82" s="36">
        <f t="shared" si="1"/>
        <v>76</v>
      </c>
      <c r="J82" s="37">
        <f>MAX([82]Hoja1!$A$5:$A$22)</f>
        <v>44088</v>
      </c>
      <c r="K82" s="38" t="str">
        <f>IF(ISTEXT([82]Hoja1!$A$23),[82]Hoja1!$A$23,"")</f>
        <v/>
      </c>
    </row>
    <row r="83" spans="2:11" x14ac:dyDescent="0.45">
      <c r="B83" s="39" t="s">
        <v>124</v>
      </c>
      <c r="C83" s="35" t="str">
        <f>[83]Hoja1!$A$1</f>
        <v>026-00112</v>
      </c>
      <c r="D83" s="36" t="str">
        <f>[83]Hoja1!$C$1</f>
        <v>junta puerta de cilindro LL</v>
      </c>
      <c r="E83" s="36">
        <f>[83]Hoja1!$I$1</f>
        <v>1</v>
      </c>
      <c r="F83" s="36">
        <f>[83]Hoja1!$I$2</f>
        <v>1</v>
      </c>
      <c r="G83" s="36">
        <f>[83]Hoja1!$E$22</f>
        <v>12</v>
      </c>
      <c r="H83" s="36">
        <f>[83]Hoja1!$H$22</f>
        <v>80</v>
      </c>
      <c r="I83" s="36">
        <f t="shared" si="1"/>
        <v>92</v>
      </c>
      <c r="J83" s="37">
        <f>MAX([83]Hoja1!$A$5:$A$22)</f>
        <v>44088</v>
      </c>
      <c r="K83" s="38" t="str">
        <f>IF(ISTEXT([83]Hoja1!$A$23),[83]Hoja1!$A$23,"")</f>
        <v/>
      </c>
    </row>
    <row r="84" spans="2:11" x14ac:dyDescent="0.45">
      <c r="B84" s="39" t="s">
        <v>125</v>
      </c>
      <c r="C84" s="35" t="str">
        <f>[84]Hoja1!$A$1</f>
        <v>026-00128</v>
      </c>
      <c r="D84" s="36" t="str">
        <f>[84]Hoja1!$C$1</f>
        <v>botador de admision LL</v>
      </c>
      <c r="E84" s="36">
        <f>[84]Hoja1!$I$1</f>
        <v>1</v>
      </c>
      <c r="F84" s="36">
        <f>[84]Hoja1!$I$2</f>
        <v>1</v>
      </c>
      <c r="G84" s="36">
        <f>[84]Hoja1!$E$22</f>
        <v>2</v>
      </c>
      <c r="H84" s="36">
        <f>[84]Hoja1!$H$22</f>
        <v>12</v>
      </c>
      <c r="I84" s="36">
        <f t="shared" si="1"/>
        <v>14</v>
      </c>
      <c r="J84" s="37">
        <f>MAX([84]Hoja1!$A$5:$A$22)</f>
        <v>44043</v>
      </c>
      <c r="K84" s="38" t="str">
        <f>IF(ISTEXT([84]Hoja1!$A$23),[84]Hoja1!$A$23,"")</f>
        <v/>
      </c>
    </row>
    <row r="85" spans="2:11" x14ac:dyDescent="0.45">
      <c r="B85" s="45" t="s">
        <v>126</v>
      </c>
      <c r="C85" s="35" t="str">
        <f>[85]Hoja1!$A$1</f>
        <v>026-00128</v>
      </c>
      <c r="D85" s="36" t="str">
        <f>[85]Hoja1!$C$1</f>
        <v>botador de admision LL</v>
      </c>
      <c r="E85" s="36">
        <f>[85]Hoja1!$I$1</f>
        <v>1</v>
      </c>
      <c r="F85" s="36">
        <f>[85]Hoja1!$I$2</f>
        <v>1</v>
      </c>
      <c r="G85" s="36">
        <f>[85]Hoja1!$E$22</f>
        <v>2</v>
      </c>
      <c r="H85" s="36">
        <f>[85]Hoja1!$H$22</f>
        <v>12</v>
      </c>
      <c r="I85" s="36">
        <f t="shared" si="1"/>
        <v>14</v>
      </c>
      <c r="J85" s="37">
        <f>MAX([85]Hoja1!$A$5:$A$22)</f>
        <v>44088</v>
      </c>
      <c r="K85" s="38" t="str">
        <f>IF(ISTEXT([85]Hoja1!$A$23),[85]Hoja1!$A$23,"")</f>
        <v/>
      </c>
    </row>
    <row r="86" spans="2:11" x14ac:dyDescent="0.45">
      <c r="B86" s="39" t="s">
        <v>127</v>
      </c>
      <c r="C86" s="35" t="str">
        <f>[86]Hoja1!$A$1</f>
        <v>027-00130</v>
      </c>
      <c r="D86" s="36" t="str">
        <f>[86]Hoja1!$C$1</f>
        <v>pasador conico para engranaje LL</v>
      </c>
      <c r="E86" s="36">
        <f>[86]Hoja1!$I$1</f>
        <v>0</v>
      </c>
      <c r="F86" s="36">
        <f>[86]Hoja1!$I$2</f>
        <v>1</v>
      </c>
      <c r="G86" s="36">
        <f>[86]Hoja1!$E$22</f>
        <v>2</v>
      </c>
      <c r="H86" s="36">
        <f>[86]Hoja1!$H$22</f>
        <v>20</v>
      </c>
      <c r="I86" s="36">
        <f t="shared" si="1"/>
        <v>22</v>
      </c>
      <c r="J86" s="37">
        <f>MAX([86]Hoja1!$A$5:$A$22)</f>
        <v>44043</v>
      </c>
      <c r="K86" s="38" t="str">
        <f>IF(ISTEXT([86]Hoja1!$A$23),[86]Hoja1!$A$23,"")</f>
        <v/>
      </c>
    </row>
    <row r="87" spans="2:11" x14ac:dyDescent="0.45">
      <c r="B87" s="39" t="s">
        <v>128</v>
      </c>
      <c r="C87" s="35" t="str">
        <f>[87]Hoja1!$A$1</f>
        <v>027-00132</v>
      </c>
      <c r="D87" s="36" t="str">
        <f>[87]Hoja1!$C$1</f>
        <v>pasador conico para palanca LL</v>
      </c>
      <c r="E87" s="36">
        <f>[87]Hoja1!$I$1</f>
        <v>0</v>
      </c>
      <c r="F87" s="36">
        <f>[87]Hoja1!$I$2</f>
        <v>1</v>
      </c>
      <c r="G87" s="36">
        <f>[87]Hoja1!$E$22</f>
        <v>2</v>
      </c>
      <c r="H87" s="36">
        <f>[87]Hoja1!$H$22</f>
        <v>65</v>
      </c>
      <c r="I87" s="36">
        <f t="shared" si="1"/>
        <v>67</v>
      </c>
      <c r="J87" s="37">
        <f>MAX([87]Hoja1!$A$5:$A$22)</f>
        <v>44043</v>
      </c>
      <c r="K87" s="38" t="str">
        <f>IF(ISTEXT([87]Hoja1!$A$23),[87]Hoja1!$A$23,"")</f>
        <v/>
      </c>
    </row>
    <row r="88" spans="2:11" x14ac:dyDescent="0.45">
      <c r="B88" s="45" t="s">
        <v>129</v>
      </c>
      <c r="C88" s="35" t="str">
        <f>[88]Hoja1!$A$1</f>
        <v>027-00358</v>
      </c>
      <c r="D88" s="36" t="str">
        <f>[88]Hoja1!$C$1</f>
        <v>chaveta media luna para piñon ST</v>
      </c>
      <c r="E88" s="36">
        <f>[88]Hoja1!$I$1</f>
        <v>0</v>
      </c>
      <c r="F88" s="36">
        <f>[88]Hoja1!$I$2</f>
        <v>1</v>
      </c>
      <c r="G88" s="36">
        <f>[88]Hoja1!$E$22</f>
        <v>0</v>
      </c>
      <c r="H88" s="36">
        <f>[88]Hoja1!$H$22</f>
        <v>0</v>
      </c>
      <c r="I88" s="36">
        <f t="shared" si="1"/>
        <v>0</v>
      </c>
      <c r="J88" s="37">
        <f>MAX([88]Hoja1!$A$5:$A$22)</f>
        <v>44043</v>
      </c>
      <c r="K88" s="38" t="str">
        <f>IF(ISTEXT([88]Hoja1!$A$23),[88]Hoja1!$A$23,"")</f>
        <v/>
      </c>
    </row>
    <row r="89" spans="2:11" x14ac:dyDescent="0.45">
      <c r="B89" s="39" t="s">
        <v>130</v>
      </c>
      <c r="C89" s="35" t="str">
        <f>[89]Hoja1!$A$1</f>
        <v>027-00367</v>
      </c>
      <c r="D89" s="36" t="str">
        <f>[89]Hoja1!$C$1</f>
        <v>pasador conico para levas LL</v>
      </c>
      <c r="E89" s="36">
        <f>[89]Hoja1!$I$1</f>
        <v>0</v>
      </c>
      <c r="F89" s="36">
        <f>[89]Hoja1!$I$2</f>
        <v>1</v>
      </c>
      <c r="G89" s="36">
        <f>[89]Hoja1!$E$22</f>
        <v>0</v>
      </c>
      <c r="H89" s="36">
        <f>[89]Hoja1!$H$22</f>
        <v>30</v>
      </c>
      <c r="I89" s="36">
        <f t="shared" si="1"/>
        <v>30</v>
      </c>
      <c r="J89" s="37">
        <f>MAX([89]Hoja1!$A$5:$A$22)</f>
        <v>44088</v>
      </c>
      <c r="K89" s="38" t="str">
        <f>IF(ISTEXT([89]Hoja1!$A$23),[89]Hoja1!$A$23,"")</f>
        <v/>
      </c>
    </row>
    <row r="90" spans="2:11" x14ac:dyDescent="0.45">
      <c r="B90" s="39" t="s">
        <v>131</v>
      </c>
      <c r="C90" s="35" t="str">
        <f>[90]Hoja1!$A$1</f>
        <v>027-00606B</v>
      </c>
      <c r="D90" s="36" t="str">
        <f>[90]Hoja1!$C$1</f>
        <v>grasera  LL</v>
      </c>
      <c r="E90" s="36">
        <f>[90]Hoja1!$I$1</f>
        <v>0</v>
      </c>
      <c r="F90" s="36">
        <f>[90]Hoja1!$I$2</f>
        <v>1</v>
      </c>
      <c r="G90" s="36">
        <f>[90]Hoja1!$E$22</f>
        <v>3</v>
      </c>
      <c r="H90" s="36">
        <f>[90]Hoja1!$H$22</f>
        <v>30</v>
      </c>
      <c r="I90" s="36">
        <f t="shared" si="1"/>
        <v>33</v>
      </c>
      <c r="J90" s="37">
        <f>MAX([90]Hoja1!$A$5:$A$22)</f>
        <v>44088</v>
      </c>
      <c r="K90" s="38" t="str">
        <f>IF(ISTEXT([90]Hoja1!$A$23),[90]Hoja1!$A$23,"")</f>
        <v>revisar cant</v>
      </c>
    </row>
    <row r="91" spans="2:11" x14ac:dyDescent="0.45">
      <c r="B91" s="39" t="s">
        <v>132</v>
      </c>
      <c r="C91" s="35" t="str">
        <f>[91]Hoja1!$A$1</f>
        <v>027-00714</v>
      </c>
      <c r="D91" s="36" t="str">
        <f>[91]Hoja1!$C$1</f>
        <v>tuerca de registro   LL</v>
      </c>
      <c r="E91" s="36">
        <f>[91]Hoja1!$I$1</f>
        <v>0</v>
      </c>
      <c r="F91" s="36">
        <f>[91]Hoja1!$I$2</f>
        <v>1</v>
      </c>
      <c r="G91" s="36">
        <f>[91]Hoja1!$E$22</f>
        <v>3</v>
      </c>
      <c r="H91" s="36">
        <f>[91]Hoja1!$H$22</f>
        <v>15</v>
      </c>
      <c r="I91" s="36">
        <f t="shared" si="1"/>
        <v>18</v>
      </c>
      <c r="J91" s="37">
        <f>MAX([91]Hoja1!$A$5:$A$22)</f>
        <v>44043</v>
      </c>
      <c r="K91" s="38" t="str">
        <f>IF(ISTEXT([91]Hoja1!$A$23),[91]Hoja1!$A$23,"")</f>
        <v>revisar cant</v>
      </c>
    </row>
    <row r="92" spans="2:11" x14ac:dyDescent="0.45">
      <c r="B92" s="39" t="s">
        <v>133</v>
      </c>
      <c r="C92" s="35" t="str">
        <f>[92]Hoja1!$A$1</f>
        <v>027-00768</v>
      </c>
      <c r="D92" s="36" t="str">
        <f>[92]Hoja1!$C$1</f>
        <v>tapon de expansion LL</v>
      </c>
      <c r="E92" s="36">
        <f>[92]Hoja1!$I$1</f>
        <v>0</v>
      </c>
      <c r="F92" s="36">
        <f>[92]Hoja1!$I$2</f>
        <v>1</v>
      </c>
      <c r="G92" s="36">
        <f>[92]Hoja1!$E$22</f>
        <v>36</v>
      </c>
      <c r="H92" s="36">
        <f>[92]Hoja1!$H$22</f>
        <v>65</v>
      </c>
      <c r="I92" s="36">
        <f t="shared" si="1"/>
        <v>101</v>
      </c>
      <c r="J92" s="37">
        <f>MAX([92]Hoja1!$A$5:$A$22)</f>
        <v>44088</v>
      </c>
      <c r="K92" s="38" t="str">
        <f>IF(ISTEXT([92]Hoja1!$A$23),[92]Hoja1!$A$23,"")</f>
        <v>revisar cant</v>
      </c>
    </row>
    <row r="93" spans="2:11" x14ac:dyDescent="0.45">
      <c r="B93" s="39" t="s">
        <v>134</v>
      </c>
      <c r="C93" s="35" t="str">
        <f>[93]Hoja1!$A$1</f>
        <v>027-04356</v>
      </c>
      <c r="D93" s="36" t="str">
        <f>[93]Hoja1!$C$1</f>
        <v>tuerca autoblocante de biela LL</v>
      </c>
      <c r="E93" s="36">
        <f>[93]Hoja1!$I$1</f>
        <v>0</v>
      </c>
      <c r="F93" s="36">
        <f>[93]Hoja1!$I$2</f>
        <v>1</v>
      </c>
      <c r="G93" s="36">
        <f>[93]Hoja1!$E$22</f>
        <v>4</v>
      </c>
      <c r="H93" s="36">
        <f>[93]Hoja1!$H$22</f>
        <v>21</v>
      </c>
      <c r="I93" s="36">
        <f t="shared" si="1"/>
        <v>25</v>
      </c>
      <c r="J93" s="37">
        <f>MAX([93]Hoja1!$A$5:$A$22)</f>
        <v>44088</v>
      </c>
      <c r="K93" s="38" t="str">
        <f>IF(ISTEXT([93]Hoja1!$A$23),[93]Hoja1!$A$23,"")</f>
        <v>revisar cant</v>
      </c>
    </row>
    <row r="94" spans="2:11" x14ac:dyDescent="0.45">
      <c r="B94" s="39" t="s">
        <v>135</v>
      </c>
      <c r="C94" s="35" t="str">
        <f>[94]Hoja1!$A$1</f>
        <v>027-06874I</v>
      </c>
      <c r="D94" s="36" t="str">
        <f>[94]Hoja1!$C$1</f>
        <v xml:space="preserve">varilla de aciete </v>
      </c>
      <c r="E94" s="36">
        <f>[94]Hoja1!$I$1</f>
        <v>0</v>
      </c>
      <c r="F94" s="36">
        <f>[94]Hoja1!$I$2</f>
        <v>2</v>
      </c>
      <c r="G94" s="36">
        <f>[94]Hoja1!$E$22</f>
        <v>1</v>
      </c>
      <c r="H94" s="36">
        <f>[94]Hoja1!$H$22</f>
        <v>0</v>
      </c>
      <c r="I94" s="36">
        <f t="shared" si="1"/>
        <v>1</v>
      </c>
      <c r="J94" s="37">
        <f>MAX([94]Hoja1!$A$5:$A$22)</f>
        <v>44102</v>
      </c>
      <c r="K94" s="38" t="str">
        <f>IF(ISTEXT([94]Hoja1!$A$23),[94]Hoja1!$A$23,"")</f>
        <v xml:space="preserve">ver aplicación </v>
      </c>
    </row>
    <row r="95" spans="2:11" x14ac:dyDescent="0.45">
      <c r="B95" s="45" t="s">
        <v>136</v>
      </c>
      <c r="C95" s="35" t="str">
        <f>[95]Hoja1!$A$1</f>
        <v>027-07711I</v>
      </c>
      <c r="D95" s="36" t="str">
        <f>[95]Hoja1!$C$1</f>
        <v>varilla de aciete  LV/LT</v>
      </c>
      <c r="E95" s="36">
        <f>[95]Hoja1!$I$1</f>
        <v>0</v>
      </c>
      <c r="F95" s="36">
        <f>[95]Hoja1!$I$2</f>
        <v>2</v>
      </c>
      <c r="G95" s="36">
        <f>[95]Hoja1!$E$22</f>
        <v>0</v>
      </c>
      <c r="H95" s="36">
        <f>[95]Hoja1!$H$22</f>
        <v>1</v>
      </c>
      <c r="I95" s="36">
        <f t="shared" si="1"/>
        <v>1</v>
      </c>
      <c r="J95" s="37">
        <f>MAX([95]Hoja1!$A$5:$A$22)</f>
        <v>44043</v>
      </c>
      <c r="K95" s="38" t="str">
        <f>IF(ISTEXT([95]Hoja1!$A$23),[95]Hoja1!$A$23,"")</f>
        <v xml:space="preserve">ver aplicación </v>
      </c>
    </row>
    <row r="96" spans="2:11" x14ac:dyDescent="0.45">
      <c r="B96" s="45" t="s">
        <v>137</v>
      </c>
      <c r="C96" s="35" t="str">
        <f>[96]Hoja1!$A$1</f>
        <v>027-077878A</v>
      </c>
      <c r="D96" s="36" t="str">
        <f>[96]Hoja1!$C$1</f>
        <v>tapa de radiador LPW</v>
      </c>
      <c r="E96" s="36">
        <f>[96]Hoja1!$I$1</f>
        <v>0</v>
      </c>
      <c r="F96" s="36">
        <f>[96]Hoja1!$I$2</f>
        <v>2</v>
      </c>
      <c r="G96" s="36">
        <f>[96]Hoja1!$E$22</f>
        <v>1</v>
      </c>
      <c r="H96" s="36">
        <f>[96]Hoja1!$H$22</f>
        <v>5</v>
      </c>
      <c r="I96" s="36">
        <f t="shared" si="1"/>
        <v>6</v>
      </c>
      <c r="J96" s="37">
        <f>MAX([96]Hoja1!$A$5:$A$22)</f>
        <v>44135</v>
      </c>
      <c r="K96" s="38" t="str">
        <f>IF(ISTEXT([96]Hoja1!$A$23),[96]Hoja1!$A$23,"")</f>
        <v xml:space="preserve">ver aplicación </v>
      </c>
    </row>
    <row r="97" spans="2:11" x14ac:dyDescent="0.45">
      <c r="B97" s="45" t="s">
        <v>138</v>
      </c>
      <c r="C97" s="35" t="str">
        <f>[97]Hoja1!$A$1</f>
        <v>027-08796I</v>
      </c>
      <c r="D97" s="36" t="str">
        <f>[97]Hoja1!$C$1</f>
        <v>jgo reparacion bba combust Pienne</v>
      </c>
      <c r="E97" s="36">
        <f>[97]Hoja1!$I$1</f>
        <v>0</v>
      </c>
      <c r="F97" s="36">
        <f>[97]Hoja1!$I$2</f>
        <v>2</v>
      </c>
      <c r="G97" s="36">
        <f>[97]Hoja1!$E$22</f>
        <v>0</v>
      </c>
      <c r="H97" s="36">
        <f>[97]Hoja1!$H$22</f>
        <v>2</v>
      </c>
      <c r="I97" s="36">
        <f t="shared" si="1"/>
        <v>2</v>
      </c>
      <c r="J97" s="37">
        <f>MAX([97]Hoja1!$A$5:$A$22)</f>
        <v>44043</v>
      </c>
      <c r="K97" s="38" t="str">
        <f>IF(ISTEXT([97]Hoja1!$A$23),[97]Hoja1!$A$23,"")</f>
        <v/>
      </c>
    </row>
    <row r="98" spans="2:11" x14ac:dyDescent="0.45">
      <c r="B98" s="45" t="s">
        <v>139</v>
      </c>
      <c r="C98" s="35" t="str">
        <f>[98]Hoja1!$A$1</f>
        <v>027-08797I</v>
      </c>
      <c r="D98" s="36" t="str">
        <f>[98]Hoja1!$C$1</f>
        <v>jgo reparacion bba combust Pienne</v>
      </c>
      <c r="E98" s="36">
        <f>[98]Hoja1!$I$1</f>
        <v>0</v>
      </c>
      <c r="F98" s="36">
        <f>[98]Hoja1!$I$2</f>
        <v>2</v>
      </c>
      <c r="G98" s="36">
        <f>[98]Hoja1!$E$22</f>
        <v>0</v>
      </c>
      <c r="H98" s="36">
        <f>[98]Hoja1!$H$22</f>
        <v>2</v>
      </c>
      <c r="I98" s="36">
        <f t="shared" si="1"/>
        <v>2</v>
      </c>
      <c r="J98" s="37">
        <f>MAX([98]Hoja1!$A$5:$A$22)</f>
        <v>44043</v>
      </c>
      <c r="K98" s="38" t="str">
        <f>IF(ISTEXT([98]Hoja1!$A$23),[98]Hoja1!$A$23,"")</f>
        <v>ver aplicación</v>
      </c>
    </row>
    <row r="99" spans="2:11" x14ac:dyDescent="0.45">
      <c r="B99" s="39" t="s">
        <v>140</v>
      </c>
      <c r="C99" s="35" t="str">
        <f>[99]Hoja1!$A$1</f>
        <v>027-10041I</v>
      </c>
      <c r="D99" s="36" t="str">
        <f>[99]Hoja1!$C$1</f>
        <v>jgo reparacion bba combust TR/LPW</v>
      </c>
      <c r="E99" s="36">
        <f>[99]Hoja1!$I$1</f>
        <v>0</v>
      </c>
      <c r="F99" s="36">
        <f>[99]Hoja1!$I$2</f>
        <v>2</v>
      </c>
      <c r="G99" s="36">
        <f>[99]Hoja1!$E$22</f>
        <v>1</v>
      </c>
      <c r="H99" s="36">
        <f>[99]Hoja1!$H$22</f>
        <v>4</v>
      </c>
      <c r="I99" s="36">
        <f t="shared" si="1"/>
        <v>5</v>
      </c>
      <c r="J99" s="37">
        <f>MAX([99]Hoja1!$A$5:$A$22)</f>
        <v>44135</v>
      </c>
      <c r="K99" s="38" t="str">
        <f>IF(ISTEXT([99]Hoja1!$A$23),[99]Hoja1!$A$23,"")</f>
        <v/>
      </c>
    </row>
    <row r="100" spans="2:11" x14ac:dyDescent="0.45">
      <c r="B100" s="39" t="s">
        <v>141</v>
      </c>
      <c r="C100" s="35" t="str">
        <f>[100]Hoja1!$A$1</f>
        <v>079-00192</v>
      </c>
      <c r="D100" s="36" t="str">
        <f>[100]Hoja1!$C$1</f>
        <v>resorte del regulador</v>
      </c>
      <c r="E100" s="36">
        <f>[100]Hoja1!$I$1</f>
        <v>0</v>
      </c>
      <c r="F100" s="36">
        <f>[100]Hoja1!$I$2</f>
        <v>1</v>
      </c>
      <c r="G100" s="36">
        <f>[100]Hoja1!$E$22</f>
        <v>4</v>
      </c>
      <c r="H100" s="36">
        <f>[100]Hoja1!$H$22</f>
        <v>96</v>
      </c>
      <c r="I100" s="36">
        <f t="shared" si="1"/>
        <v>100</v>
      </c>
      <c r="J100" s="37">
        <f>MAX([100]Hoja1!$A$5:$A$22)</f>
        <v>44088</v>
      </c>
      <c r="K100" s="38" t="str">
        <f>IF(ISTEXT([100]Hoja1!$A$23),[100]Hoja1!$A$23,"")</f>
        <v>revisar cant</v>
      </c>
    </row>
    <row r="101" spans="2:11" x14ac:dyDescent="0.45">
      <c r="B101" s="39" t="s">
        <v>142</v>
      </c>
      <c r="C101" s="35" t="str">
        <f>[101]Hoja1!$A$1</f>
        <v>201-10721I</v>
      </c>
      <c r="D101" s="36" t="str">
        <f>[101]Hoja1!$C$1</f>
        <v>eje de contropesos  TS/TR</v>
      </c>
      <c r="E101" s="36">
        <f>[101]Hoja1!$I$1</f>
        <v>0</v>
      </c>
      <c r="F101" s="36">
        <f>[101]Hoja1!$I$2</f>
        <v>2</v>
      </c>
      <c r="G101" s="36">
        <f>[101]Hoja1!$E$22</f>
        <v>0</v>
      </c>
      <c r="H101" s="36">
        <f>[101]Hoja1!$H$22</f>
        <v>2</v>
      </c>
      <c r="I101" s="36">
        <f t="shared" si="1"/>
        <v>2</v>
      </c>
      <c r="J101" s="37">
        <f>MAX([101]Hoja1!$A$5:$A$22)</f>
        <v>44043</v>
      </c>
      <c r="K101" s="38" t="str">
        <f>IF(ISTEXT([101]Hoja1!$A$23),[101]Hoja1!$A$23,"")</f>
        <v/>
      </c>
    </row>
    <row r="102" spans="2:11" x14ac:dyDescent="0.45">
      <c r="B102" s="39" t="s">
        <v>143</v>
      </c>
      <c r="C102" s="35" t="str">
        <f>[102]Hoja1!$A$1</f>
        <v>201-13118I</v>
      </c>
      <c r="D102" s="36" t="str">
        <f>[102]Hoja1!$C$1</f>
        <v>filtro de combustible   ST</v>
      </c>
      <c r="E102" s="36">
        <f>[102]Hoja1!$I$1</f>
        <v>0</v>
      </c>
      <c r="F102" s="36">
        <f>[102]Hoja1!$I$2</f>
        <v>1</v>
      </c>
      <c r="G102" s="36">
        <f>[102]Hoja1!$E$22</f>
        <v>1</v>
      </c>
      <c r="H102" s="36">
        <f>[102]Hoja1!$H$22</f>
        <v>6</v>
      </c>
      <c r="I102" s="36">
        <f t="shared" si="1"/>
        <v>7</v>
      </c>
      <c r="J102" s="37">
        <f>MAX([102]Hoja1!$A$5:$A$22)</f>
        <v>44129</v>
      </c>
      <c r="K102" s="38" t="str">
        <f>IF(ISTEXT([102]Hoja1!$A$23),[102]Hoja1!$A$23,"")</f>
        <v/>
      </c>
    </row>
    <row r="103" spans="2:11" x14ac:dyDescent="0.45">
      <c r="B103" s="39" t="s">
        <v>144</v>
      </c>
      <c r="C103" s="35" t="str">
        <f>[103]Hoja1!$A$1</f>
        <v>201-30040A</v>
      </c>
      <c r="D103" s="36" t="str">
        <f>[103]Hoja1!$C$1</f>
        <v>valvula de admision TS</v>
      </c>
      <c r="E103" s="36">
        <f>[103]Hoja1!$I$1</f>
        <v>0</v>
      </c>
      <c r="F103" s="36">
        <f>[103]Hoja1!$I$2</f>
        <v>2</v>
      </c>
      <c r="G103" s="36">
        <f>[103]Hoja1!$E$22</f>
        <v>2</v>
      </c>
      <c r="H103" s="36">
        <f>[103]Hoja1!$H$22</f>
        <v>10</v>
      </c>
      <c r="I103" s="36">
        <f t="shared" si="1"/>
        <v>12</v>
      </c>
      <c r="J103" s="37">
        <f>MAX([103]Hoja1!$A$5:$A$22)</f>
        <v>44116</v>
      </c>
      <c r="K103" s="38" t="str">
        <f>IF(ISTEXT([103]Hoja1!$A$23),[103]Hoja1!$A$23,"")</f>
        <v/>
      </c>
    </row>
    <row r="104" spans="2:11" x14ac:dyDescent="0.45">
      <c r="B104" s="39" t="s">
        <v>145</v>
      </c>
      <c r="C104" s="35" t="str">
        <f>[104]Hoja1!$A$1</f>
        <v>201-30051A</v>
      </c>
      <c r="D104" s="36" t="str">
        <f>[104]Hoja1!$C$1</f>
        <v>valvula de escape TS</v>
      </c>
      <c r="E104" s="36">
        <f>[104]Hoja1!$I$1</f>
        <v>0</v>
      </c>
      <c r="F104" s="36">
        <f>[104]Hoja1!$I$2</f>
        <v>2</v>
      </c>
      <c r="G104" s="36">
        <f>[104]Hoja1!$E$22</f>
        <v>2</v>
      </c>
      <c r="H104" s="36">
        <f>[104]Hoja1!$H$22</f>
        <v>10</v>
      </c>
      <c r="I104" s="36">
        <f t="shared" si="1"/>
        <v>12</v>
      </c>
      <c r="J104" s="37">
        <f>MAX([104]Hoja1!$A$5:$A$22)</f>
        <v>44116</v>
      </c>
      <c r="K104" s="38" t="str">
        <f>IF(ISTEXT([104]Hoja1!$A$23),[104]Hoja1!$A$23,"")</f>
        <v/>
      </c>
    </row>
    <row r="105" spans="2:11" x14ac:dyDescent="0.45">
      <c r="B105" s="39" t="s">
        <v>146</v>
      </c>
      <c r="C105" s="35" t="str">
        <f>[105]Hoja1!$A$1</f>
        <v>201-30080I</v>
      </c>
      <c r="D105" s="36" t="str">
        <f>[105]Hoja1!$C$1</f>
        <v>resorte de valvula TS/TR</v>
      </c>
      <c r="E105" s="36">
        <f>[105]Hoja1!$I$1</f>
        <v>0</v>
      </c>
      <c r="F105" s="36">
        <f>[105]Hoja1!$I$2</f>
        <v>2</v>
      </c>
      <c r="G105" s="36">
        <f>[105]Hoja1!$E$22</f>
        <v>0</v>
      </c>
      <c r="H105" s="36">
        <f>[105]Hoja1!$H$22</f>
        <v>8</v>
      </c>
      <c r="I105" s="36">
        <f t="shared" si="1"/>
        <v>8</v>
      </c>
      <c r="J105" s="37">
        <f>MAX([105]Hoja1!$A$5:$A$22)</f>
        <v>44043</v>
      </c>
      <c r="K105" s="38" t="str">
        <f>IF(ISTEXT([105]Hoja1!$A$23),[105]Hoja1!$A$23,"")</f>
        <v/>
      </c>
    </row>
    <row r="106" spans="2:11" x14ac:dyDescent="0.45">
      <c r="B106" s="39" t="s">
        <v>147</v>
      </c>
      <c r="C106" s="35" t="str">
        <f>[106]Hoja1!$A$1</f>
        <v>201-30100I</v>
      </c>
      <c r="D106" s="36" t="str">
        <f>[106]Hoja1!$C$1</f>
        <v>varilla de empuje TS/TR</v>
      </c>
      <c r="E106" s="36">
        <f>[106]Hoja1!$I$1</f>
        <v>0</v>
      </c>
      <c r="F106" s="36">
        <f>[106]Hoja1!$I$2</f>
        <v>2</v>
      </c>
      <c r="G106" s="36">
        <f>[106]Hoja1!$E$22</f>
        <v>2</v>
      </c>
      <c r="H106" s="36">
        <f>[106]Hoja1!$H$22</f>
        <v>0</v>
      </c>
      <c r="I106" s="36">
        <f t="shared" si="1"/>
        <v>2</v>
      </c>
      <c r="J106" s="37">
        <f>MAX([106]Hoja1!$A$5:$A$22)</f>
        <v>44043</v>
      </c>
      <c r="K106" s="38" t="str">
        <f>IF(ISTEXT([106]Hoja1!$A$23),[106]Hoja1!$A$23,"")</f>
        <v/>
      </c>
    </row>
    <row r="107" spans="2:11" x14ac:dyDescent="0.45">
      <c r="B107" s="39" t="s">
        <v>148</v>
      </c>
      <c r="C107" s="35" t="str">
        <f>[107]Hoja1!$A$1</f>
        <v>201-30110I</v>
      </c>
      <c r="D107" s="36" t="str">
        <f>[107]Hoja1!$C$1</f>
        <v>tornillo registro  TS/TR</v>
      </c>
      <c r="E107" s="36">
        <f>[107]Hoja1!$I$1</f>
        <v>0</v>
      </c>
      <c r="F107" s="36">
        <f>[107]Hoja1!$I$2</f>
        <v>2</v>
      </c>
      <c r="G107" s="36">
        <f>[107]Hoja1!$E$22</f>
        <v>0</v>
      </c>
      <c r="H107" s="36">
        <f>[107]Hoja1!$H$22</f>
        <v>4</v>
      </c>
      <c r="I107" s="36">
        <f t="shared" si="1"/>
        <v>4</v>
      </c>
      <c r="J107" s="37">
        <f>MAX([107]Hoja1!$A$5:$A$22)</f>
        <v>44043</v>
      </c>
      <c r="K107" s="38" t="str">
        <f>IF(ISTEXT([107]Hoja1!$A$23),[107]Hoja1!$A$23,"")</f>
        <v/>
      </c>
    </row>
    <row r="108" spans="2:11" x14ac:dyDescent="0.45">
      <c r="B108" s="45" t="s">
        <v>149</v>
      </c>
      <c r="C108" s="35" t="str">
        <f>[108]Hoja1!$A$1</f>
        <v>201-31160I</v>
      </c>
      <c r="D108" s="36" t="str">
        <f>[108]Hoja1!$C$1</f>
        <v>perno del resorte de velocidad  TS/TR</v>
      </c>
      <c r="E108" s="36">
        <f>[108]Hoja1!$I$1</f>
        <v>0</v>
      </c>
      <c r="F108" s="36">
        <f>[108]Hoja1!$I$2</f>
        <v>2</v>
      </c>
      <c r="G108" s="36">
        <f>[108]Hoja1!$E$22</f>
        <v>0</v>
      </c>
      <c r="H108" s="36">
        <f>[108]Hoja1!$H$22</f>
        <v>1</v>
      </c>
      <c r="I108" s="36">
        <f t="shared" si="1"/>
        <v>1</v>
      </c>
      <c r="J108" s="37">
        <f>MAX([108]Hoja1!$A$5:$A$22)</f>
        <v>44043</v>
      </c>
      <c r="K108" s="38" t="str">
        <f>IF(ISTEXT([108]Hoja1!$A$23),[108]Hoja1!$A$23,"")</f>
        <v/>
      </c>
    </row>
    <row r="109" spans="2:11" x14ac:dyDescent="0.45">
      <c r="B109" s="39" t="s">
        <v>150</v>
      </c>
      <c r="C109" s="35" t="str">
        <f>[109]Hoja1!$A$1</f>
        <v>201-30150I</v>
      </c>
      <c r="D109" s="36" t="str">
        <f>[109]Hoja1!$C$1</f>
        <v>tubo de varilla empuje  TS/TR</v>
      </c>
      <c r="E109" s="36">
        <f>[109]Hoja1!$I$1</f>
        <v>0</v>
      </c>
      <c r="F109" s="36">
        <f>[109]Hoja1!$I$2</f>
        <v>2</v>
      </c>
      <c r="G109" s="36">
        <f>[109]Hoja1!$E$22</f>
        <v>0</v>
      </c>
      <c r="H109" s="36">
        <f>[109]Hoja1!$H$22</f>
        <v>6</v>
      </c>
      <c r="I109" s="36">
        <f t="shared" si="1"/>
        <v>6</v>
      </c>
      <c r="J109" s="37">
        <f>MAX([109]Hoja1!$A$5:$A$22)</f>
        <v>44043</v>
      </c>
      <c r="K109" s="38" t="str">
        <f>IF(ISTEXT([109]Hoja1!$A$23),[109]Hoja1!$A$23,"")</f>
        <v/>
      </c>
    </row>
    <row r="110" spans="2:11" x14ac:dyDescent="0.45">
      <c r="B110" s="39" t="s">
        <v>151</v>
      </c>
      <c r="C110" s="35" t="str">
        <f>[110]Hoja1!$A$1</f>
        <v>201-30171A</v>
      </c>
      <c r="D110" s="36" t="str">
        <f>[110]Hoja1!$C$1</f>
        <v>guia de valvula de escape  TS/TR</v>
      </c>
      <c r="E110" s="36">
        <f>[110]Hoja1!$I$1</f>
        <v>0</v>
      </c>
      <c r="F110" s="36">
        <f>[110]Hoja1!$I$2</f>
        <v>2</v>
      </c>
      <c r="G110" s="36">
        <f>[110]Hoja1!$E$22</f>
        <v>0</v>
      </c>
      <c r="H110" s="36">
        <f>[110]Hoja1!$H$22</f>
        <v>50</v>
      </c>
      <c r="I110" s="36">
        <f t="shared" si="1"/>
        <v>50</v>
      </c>
      <c r="J110" s="37">
        <f>MAX([110]Hoja1!$A$5:$A$22)</f>
        <v>44043</v>
      </c>
      <c r="K110" s="38" t="str">
        <f>IF(ISTEXT([110]Hoja1!$A$23),[110]Hoja1!$A$23,"")</f>
        <v/>
      </c>
    </row>
    <row r="111" spans="2:11" x14ac:dyDescent="0.45">
      <c r="B111" s="39" t="s">
        <v>152</v>
      </c>
      <c r="C111" s="35" t="str">
        <f>[111]Hoja1!$A$1</f>
        <v>201-30171I</v>
      </c>
      <c r="D111" s="36" t="str">
        <f>[111]Hoja1!$C$1</f>
        <v>guia de valvula de escape  TS/TR</v>
      </c>
      <c r="E111" s="36">
        <f>[111]Hoja1!$I$1</f>
        <v>0</v>
      </c>
      <c r="F111" s="36">
        <f>[111]Hoja1!$I$2</f>
        <v>2</v>
      </c>
      <c r="G111" s="36">
        <f>[111]Hoja1!$E$22</f>
        <v>4</v>
      </c>
      <c r="H111" s="36">
        <f>[111]Hoja1!$H$22</f>
        <v>10</v>
      </c>
      <c r="I111" s="36">
        <f t="shared" si="1"/>
        <v>14</v>
      </c>
      <c r="J111" s="37">
        <f>MAX([111]Hoja1!$A$5:$A$22)</f>
        <v>44116</v>
      </c>
      <c r="K111" s="38" t="str">
        <f>IF(ISTEXT([111]Hoja1!$A$23),[111]Hoja1!$A$23,"")</f>
        <v/>
      </c>
    </row>
    <row r="112" spans="2:11" x14ac:dyDescent="0.45">
      <c r="B112" s="45" t="s">
        <v>153</v>
      </c>
      <c r="C112" s="35" t="str">
        <f>[112]Hoja1!$A$1</f>
        <v>201-30117A</v>
      </c>
      <c r="D112" s="36" t="str">
        <f>[112]Hoja1!$C$1</f>
        <v>guia de valvula de escape  TS/TR</v>
      </c>
      <c r="E112" s="36">
        <f>[112]Hoja1!$I$1</f>
        <v>0</v>
      </c>
      <c r="F112" s="36">
        <f>[112]Hoja1!$I$2</f>
        <v>2</v>
      </c>
      <c r="G112" s="36">
        <f>[112]Hoja1!$E$22</f>
        <v>0</v>
      </c>
      <c r="H112" s="36">
        <f>[112]Hoja1!$H$22</f>
        <v>50</v>
      </c>
      <c r="I112" s="36">
        <f t="shared" si="1"/>
        <v>50</v>
      </c>
      <c r="J112" s="37">
        <f>MAX([112]Hoja1!$A$5:$A$22)</f>
        <v>44043</v>
      </c>
      <c r="K112" s="38" t="str">
        <f>IF(ISTEXT([112]Hoja1!$A$23),[112]Hoja1!$A$23,"")</f>
        <v/>
      </c>
    </row>
    <row r="113" spans="2:11" x14ac:dyDescent="0.45">
      <c r="B113" s="39" t="s">
        <v>154</v>
      </c>
      <c r="C113" s="35" t="str">
        <f>[113]Hoja1!$A$1</f>
        <v>201-30181I</v>
      </c>
      <c r="D113" s="36" t="str">
        <f>[113]Hoja1!$C$1</f>
        <v>guia de valvula de admis  TS/TR</v>
      </c>
      <c r="E113" s="36">
        <f>[113]Hoja1!$I$1</f>
        <v>0</v>
      </c>
      <c r="F113" s="36">
        <f>[113]Hoja1!$I$2</f>
        <v>2</v>
      </c>
      <c r="G113" s="36">
        <f>[113]Hoja1!$E$22</f>
        <v>4</v>
      </c>
      <c r="H113" s="36">
        <f>[113]Hoja1!$H$22</f>
        <v>12</v>
      </c>
      <c r="I113" s="36">
        <f t="shared" si="1"/>
        <v>16</v>
      </c>
      <c r="J113" s="37">
        <f>MAX([113]Hoja1!$A$5:$A$22)</f>
        <v>44116</v>
      </c>
      <c r="K113" s="38" t="str">
        <f>IF(ISTEXT([113]Hoja1!$A$23),[113]Hoja1!$A$23,"")</f>
        <v/>
      </c>
    </row>
    <row r="114" spans="2:11" x14ac:dyDescent="0.45">
      <c r="B114" s="39" t="s">
        <v>155</v>
      </c>
      <c r="C114" s="35" t="str">
        <f>[114]Hoja1!$A$1</f>
        <v>201-30250I</v>
      </c>
      <c r="D114" s="36" t="str">
        <f>[114]Hoja1!$C$1</f>
        <v>buje de arbol de levas  TS/TR</v>
      </c>
      <c r="E114" s="36">
        <f>[114]Hoja1!$I$1</f>
        <v>0</v>
      </c>
      <c r="F114" s="36">
        <f>[114]Hoja1!$I$2</f>
        <v>2</v>
      </c>
      <c r="G114" s="36">
        <f>[114]Hoja1!$E$22</f>
        <v>0</v>
      </c>
      <c r="H114" s="36">
        <f>[114]Hoja1!$H$22</f>
        <v>1</v>
      </c>
      <c r="I114" s="36">
        <f t="shared" si="1"/>
        <v>1</v>
      </c>
      <c r="J114" s="37">
        <f>MAX([114]Hoja1!$A$5:$A$22)</f>
        <v>44043</v>
      </c>
      <c r="K114" s="38" t="str">
        <f>IF(ISTEXT([114]Hoja1!$A$23),[114]Hoja1!$A$23,"")</f>
        <v/>
      </c>
    </row>
    <row r="115" spans="2:11" x14ac:dyDescent="0.45">
      <c r="B115" s="39" t="s">
        <v>156</v>
      </c>
      <c r="C115" s="35" t="str">
        <f>[115]Hoja1!$A$1</f>
        <v>201-30261I</v>
      </c>
      <c r="D115" s="36" t="str">
        <f>[115]Hoja1!$C$1</f>
        <v>reten inferior tubo de var  TS/TR</v>
      </c>
      <c r="E115" s="36">
        <f>[115]Hoja1!$I$1</f>
        <v>0</v>
      </c>
      <c r="F115" s="36">
        <f>[115]Hoja1!$I$2</f>
        <v>2</v>
      </c>
      <c r="G115" s="36">
        <f>[115]Hoja1!$E$22</f>
        <v>24</v>
      </c>
      <c r="H115" s="36">
        <f>[115]Hoja1!$H$22</f>
        <v>8</v>
      </c>
      <c r="I115" s="36">
        <f t="shared" si="1"/>
        <v>32</v>
      </c>
      <c r="J115" s="37">
        <f>MAX([115]Hoja1!$A$5:$A$22)</f>
        <v>44116</v>
      </c>
      <c r="K115" s="38" t="str">
        <f>IF(ISTEXT([115]Hoja1!$A$23),[115]Hoja1!$A$23,"")</f>
        <v/>
      </c>
    </row>
    <row r="116" spans="2:11" x14ac:dyDescent="0.45">
      <c r="B116" s="39" t="s">
        <v>157</v>
      </c>
      <c r="C116" s="35" t="str">
        <f>[116]Hoja1!$A$1</f>
        <v>201-30390I</v>
      </c>
      <c r="D116" s="36" t="str">
        <f>[116]Hoja1!$C$1</f>
        <v>arandela de empuje  TS/TR DISCONTINUADA</v>
      </c>
      <c r="E116" s="36">
        <f>[116]Hoja1!$I$1</f>
        <v>0</v>
      </c>
      <c r="F116" s="36">
        <f>[116]Hoja1!$I$2</f>
        <v>2</v>
      </c>
      <c r="G116" s="36">
        <f>[116]Hoja1!$E$22</f>
        <v>0</v>
      </c>
      <c r="H116" s="36">
        <f>[116]Hoja1!$H$22</f>
        <v>5</v>
      </c>
      <c r="I116" s="36">
        <f t="shared" si="1"/>
        <v>5</v>
      </c>
      <c r="J116" s="37">
        <f>MAX([116]Hoja1!$A$5:$A$22)</f>
        <v>44043</v>
      </c>
      <c r="K116" s="38" t="str">
        <f>IF(ISTEXT([116]Hoja1!$A$23),[116]Hoja1!$A$23,"")</f>
        <v/>
      </c>
    </row>
    <row r="117" spans="2:11" x14ac:dyDescent="0.45">
      <c r="B117" s="39" t="s">
        <v>158</v>
      </c>
      <c r="C117" s="35" t="str">
        <f>[117]Hoja1!$A$1</f>
        <v>201-30410I</v>
      </c>
      <c r="D117" s="36" t="str">
        <f>[117]Hoja1!$C$1</f>
        <v>arandela de empuje  TS/TR</v>
      </c>
      <c r="E117" s="36">
        <f>[117]Hoja1!$I$1</f>
        <v>0</v>
      </c>
      <c r="F117" s="36">
        <f>[117]Hoja1!$I$2</f>
        <v>2</v>
      </c>
      <c r="G117" s="36">
        <f>[117]Hoja1!$E$22</f>
        <v>0</v>
      </c>
      <c r="H117" s="36">
        <f>[117]Hoja1!$H$22</f>
        <v>2</v>
      </c>
      <c r="I117" s="36">
        <f t="shared" si="1"/>
        <v>2</v>
      </c>
      <c r="J117" s="37">
        <f>MAX([117]Hoja1!$A$5:$A$22)</f>
        <v>44043</v>
      </c>
      <c r="K117" s="38" t="str">
        <f>IF(ISTEXT([117]Hoja1!$A$23),[117]Hoja1!$A$23,"")</f>
        <v/>
      </c>
    </row>
    <row r="118" spans="2:11" x14ac:dyDescent="0.45">
      <c r="B118" s="39" t="s">
        <v>159</v>
      </c>
      <c r="C118" s="35" t="str">
        <f>[118]Hoja1!$A$1</f>
        <v>201-30461I</v>
      </c>
      <c r="D118" s="36" t="str">
        <f>[118]Hoja1!$C$1</f>
        <v>palanca del descompresor TS/TR</v>
      </c>
      <c r="E118" s="36">
        <f>[118]Hoja1!$I$1</f>
        <v>0</v>
      </c>
      <c r="F118" s="36">
        <f>[118]Hoja1!$I$2</f>
        <v>2</v>
      </c>
      <c r="G118" s="36">
        <f>[118]Hoja1!$E$22</f>
        <v>0</v>
      </c>
      <c r="H118" s="36">
        <f>[118]Hoja1!$H$22</f>
        <v>4</v>
      </c>
      <c r="I118" s="36">
        <f t="shared" si="1"/>
        <v>4</v>
      </c>
      <c r="J118" s="37">
        <f>MAX([118]Hoja1!$A$5:$A$22)</f>
        <v>44043</v>
      </c>
      <c r="K118" s="38" t="str">
        <f>IF(ISTEXT([118]Hoja1!$A$23),[118]Hoja1!$A$23,"")</f>
        <v/>
      </c>
    </row>
    <row r="119" spans="2:11" x14ac:dyDescent="0.45">
      <c r="B119" s="39" t="s">
        <v>160</v>
      </c>
      <c r="C119" s="35" t="str">
        <f>[119]Hoja1!$A$1</f>
        <v>201-30550I</v>
      </c>
      <c r="D119" s="36" t="str">
        <f>[119]Hoja1!$C$1</f>
        <v>varilla de empuje de bba de combustible TS/TR</v>
      </c>
      <c r="E119" s="36">
        <f>[119]Hoja1!$I$1</f>
        <v>0</v>
      </c>
      <c r="F119" s="36">
        <f>[119]Hoja1!$I$2</f>
        <v>2</v>
      </c>
      <c r="G119" s="36">
        <f>[119]Hoja1!$E$22</f>
        <v>0</v>
      </c>
      <c r="H119" s="36">
        <f>[119]Hoja1!$H$22</f>
        <v>1</v>
      </c>
      <c r="I119" s="36">
        <f t="shared" si="1"/>
        <v>1</v>
      </c>
      <c r="J119" s="37">
        <f>MAX([119]Hoja1!$A$5:$A$22)</f>
        <v>44043</v>
      </c>
      <c r="K119" s="38" t="str">
        <f>IF(ISTEXT([119]Hoja1!$A$23),[119]Hoja1!$A$23,"")</f>
        <v/>
      </c>
    </row>
    <row r="120" spans="2:11" x14ac:dyDescent="0.45">
      <c r="B120" s="39" t="s">
        <v>161</v>
      </c>
      <c r="C120" s="35" t="str">
        <f>[120]Hoja1!$A$1</f>
        <v>201-30612A</v>
      </c>
      <c r="D120" s="36" t="str">
        <f>[120]Hoja1!$C$1</f>
        <v>junta  TS/TR</v>
      </c>
      <c r="E120" s="36">
        <f>[120]Hoja1!$I$1</f>
        <v>0</v>
      </c>
      <c r="F120" s="36">
        <f>[120]Hoja1!$I$2</f>
        <v>2</v>
      </c>
      <c r="G120" s="36">
        <f>[120]Hoja1!$E$22</f>
        <v>0</v>
      </c>
      <c r="H120" s="36">
        <f>[120]Hoja1!$H$22</f>
        <v>37</v>
      </c>
      <c r="I120" s="36">
        <f t="shared" si="1"/>
        <v>37</v>
      </c>
      <c r="J120" s="37">
        <f>MAX([120]Hoja1!$A$5:$A$22)</f>
        <v>44043</v>
      </c>
      <c r="K120" s="38" t="str">
        <f>IF(ISTEXT([120]Hoja1!$A$23),[120]Hoja1!$A$23,"")</f>
        <v xml:space="preserve"> (7 son  I de desarme )</v>
      </c>
    </row>
    <row r="121" spans="2:11" x14ac:dyDescent="0.45">
      <c r="B121" s="39" t="s">
        <v>162</v>
      </c>
      <c r="C121" s="35" t="str">
        <f>[121]Hoja1!$A$1</f>
        <v>201-30630I</v>
      </c>
      <c r="D121" s="36" t="str">
        <f>[121]Hoja1!$C$1</f>
        <v>tornillo de localiz. botador  TS/TR</v>
      </c>
      <c r="E121" s="36">
        <f>[121]Hoja1!$I$1</f>
        <v>0</v>
      </c>
      <c r="F121" s="36">
        <f>[121]Hoja1!$I$2</f>
        <v>2</v>
      </c>
      <c r="G121" s="36">
        <f>[121]Hoja1!$E$22</f>
        <v>0</v>
      </c>
      <c r="H121" s="36">
        <f>[121]Hoja1!$H$22</f>
        <v>10</v>
      </c>
      <c r="I121" s="36">
        <f t="shared" si="1"/>
        <v>10</v>
      </c>
      <c r="J121" s="37">
        <f>MAX([121]Hoja1!$A$5:$A$22)</f>
        <v>44043</v>
      </c>
      <c r="K121" s="38" t="str">
        <f>IF(ISTEXT([121]Hoja1!$A$23),[121]Hoja1!$A$23,"")</f>
        <v/>
      </c>
    </row>
    <row r="122" spans="2:11" x14ac:dyDescent="0.45">
      <c r="B122" s="39" t="s">
        <v>163</v>
      </c>
      <c r="C122" s="35" t="str">
        <f>[122]Hoja1!$A$1</f>
        <v>201-30640I</v>
      </c>
      <c r="D122" s="36" t="str">
        <f>[122]Hoja1!$C$1</f>
        <v>eje de balancín   TS/TR</v>
      </c>
      <c r="E122" s="36">
        <f>[122]Hoja1!$I$1</f>
        <v>0</v>
      </c>
      <c r="F122" s="36">
        <f>[122]Hoja1!$I$2</f>
        <v>2</v>
      </c>
      <c r="G122" s="36">
        <f>[122]Hoja1!$E$22</f>
        <v>0</v>
      </c>
      <c r="H122" s="36">
        <f>[122]Hoja1!$H$22</f>
        <v>4</v>
      </c>
      <c r="I122" s="36">
        <f t="shared" si="1"/>
        <v>4</v>
      </c>
      <c r="J122" s="37">
        <f>MAX([122]Hoja1!$A$5:$A$22)</f>
        <v>44043</v>
      </c>
      <c r="K122" s="38" t="str">
        <f>IF(ISTEXT([122]Hoja1!$A$23),[122]Hoja1!$A$23,"")</f>
        <v/>
      </c>
    </row>
    <row r="123" spans="2:11" x14ac:dyDescent="0.45">
      <c r="B123" s="39" t="s">
        <v>164</v>
      </c>
      <c r="C123" s="35" t="str">
        <f>[123]Hoja1!$A$1</f>
        <v>201-30650I</v>
      </c>
      <c r="D123" s="36" t="str">
        <f>[123]Hoja1!$C$1</f>
        <v>balancin   TS/TR con buje</v>
      </c>
      <c r="E123" s="36">
        <f>[123]Hoja1!$I$1</f>
        <v>0</v>
      </c>
      <c r="F123" s="36">
        <f>[123]Hoja1!$I$2</f>
        <v>2</v>
      </c>
      <c r="G123" s="36">
        <f>[123]Hoja1!$E$22</f>
        <v>0</v>
      </c>
      <c r="H123" s="36">
        <f>[123]Hoja1!$H$22</f>
        <v>7</v>
      </c>
      <c r="I123" s="36">
        <f t="shared" si="1"/>
        <v>7</v>
      </c>
      <c r="J123" s="37">
        <f>MAX([123]Hoja1!$A$5:$A$22)</f>
        <v>44043</v>
      </c>
      <c r="K123" s="38" t="str">
        <f>IF(ISTEXT([123]Hoja1!$A$23),[123]Hoja1!$A$23,"")</f>
        <v/>
      </c>
    </row>
    <row r="124" spans="2:11" x14ac:dyDescent="0.45">
      <c r="B124" s="39" t="s">
        <v>573</v>
      </c>
      <c r="C124" s="35" t="str">
        <f>[124]Hoja1!$A$1</f>
        <v>201-30670I</v>
      </c>
      <c r="D124" s="36" t="str">
        <f>[124]Hoja1!$C$1</f>
        <v>RULEMAN ARB. DE LEVAS</v>
      </c>
      <c r="E124" s="36">
        <f>[124]Hoja1!$I$1</f>
        <v>0</v>
      </c>
      <c r="F124" s="36">
        <f>[124]Hoja1!$I$2</f>
        <v>0</v>
      </c>
      <c r="G124" s="36">
        <f>[124]Hoja1!$E$22</f>
        <v>0</v>
      </c>
      <c r="H124" s="36">
        <f>[124]Hoja1!$H$22</f>
        <v>0</v>
      </c>
      <c r="I124" s="36">
        <f t="shared" si="1"/>
        <v>0</v>
      </c>
      <c r="J124" s="37">
        <f>MAX([124]Hoja1!$A$5:$A$22)</f>
        <v>44043</v>
      </c>
      <c r="K124" s="38" t="str">
        <f>IF(ISTEXT([124]Hoja1!$A$23),[124]Hoja1!$A$23,"")</f>
        <v/>
      </c>
    </row>
    <row r="125" spans="2:11" x14ac:dyDescent="0.45">
      <c r="B125" s="39" t="s">
        <v>165</v>
      </c>
      <c r="C125" s="35" t="str">
        <f>[125]Hoja1!$A$1</f>
        <v>201-30681I</v>
      </c>
      <c r="D125" s="36" t="str">
        <f>[125]Hoja1!$C$1</f>
        <v>suplemento de cubierta I</v>
      </c>
      <c r="E125" s="36">
        <f>[125]Hoja1!$I$1</f>
        <v>0</v>
      </c>
      <c r="F125" s="36">
        <f>[125]Hoja1!$I$2</f>
        <v>2</v>
      </c>
      <c r="G125" s="36">
        <f>[125]Hoja1!$E$22</f>
        <v>0</v>
      </c>
      <c r="H125" s="36">
        <f>[125]Hoja1!$H$22</f>
        <v>0</v>
      </c>
      <c r="I125" s="36">
        <f t="shared" si="1"/>
        <v>0</v>
      </c>
      <c r="J125" s="37">
        <f>MAX([125]Hoja1!$A$5:$A$22)</f>
        <v>44043</v>
      </c>
      <c r="K125" s="38" t="str">
        <f>IF(ISTEXT([125]Hoja1!$A$23),[125]Hoja1!$A$23,"")</f>
        <v/>
      </c>
    </row>
    <row r="126" spans="2:11" x14ac:dyDescent="0.45">
      <c r="B126" s="39" t="s">
        <v>166</v>
      </c>
      <c r="C126" s="35" t="str">
        <f>[126]Hoja1!$A$1</f>
        <v>201-30682I</v>
      </c>
      <c r="D126" s="36" t="str">
        <f>[126]Hoja1!$C$1</f>
        <v>suplemento de cubierta I</v>
      </c>
      <c r="E126" s="36">
        <f>[126]Hoja1!$I$1</f>
        <v>0</v>
      </c>
      <c r="F126" s="36">
        <f>[126]Hoja1!$I$2</f>
        <v>2</v>
      </c>
      <c r="G126" s="36">
        <f>[126]Hoja1!$E$22</f>
        <v>0</v>
      </c>
      <c r="H126" s="36">
        <f>[126]Hoja1!$H$22</f>
        <v>0</v>
      </c>
      <c r="I126" s="36">
        <f t="shared" si="1"/>
        <v>0</v>
      </c>
      <c r="J126" s="37">
        <f>MAX([126]Hoja1!$A$5:$A$22)</f>
        <v>44043</v>
      </c>
      <c r="K126" s="38" t="str">
        <f>IF(ISTEXT([126]Hoja1!$A$23),[126]Hoja1!$A$23,"")</f>
        <v/>
      </c>
    </row>
    <row r="127" spans="2:11" x14ac:dyDescent="0.45">
      <c r="B127" s="39" t="s">
        <v>167</v>
      </c>
      <c r="C127" s="35" t="str">
        <f>[127]Hoja1!$A$1</f>
        <v>201-30690A</v>
      </c>
      <c r="D127" s="36" t="str">
        <f>[127]Hoja1!$C$1</f>
        <v>reten extension cig. Lado distribucion  TS/TR</v>
      </c>
      <c r="E127" s="36">
        <f>[127]Hoja1!$I$1</f>
        <v>0</v>
      </c>
      <c r="F127" s="36">
        <f>[127]Hoja1!$I$2</f>
        <v>2</v>
      </c>
      <c r="G127" s="36">
        <f>[127]Hoja1!$E$22</f>
        <v>0</v>
      </c>
      <c r="H127" s="36">
        <f>[127]Hoja1!$H$22</f>
        <v>4</v>
      </c>
      <c r="I127" s="36">
        <f t="shared" si="1"/>
        <v>4</v>
      </c>
      <c r="J127" s="37">
        <f>MAX([127]Hoja1!$A$5:$A$22)</f>
        <v>44043</v>
      </c>
      <c r="K127" s="38" t="str">
        <f>IF(ISTEXT([127]Hoja1!$A$23),[127]Hoja1!$A$23,"")</f>
        <v/>
      </c>
    </row>
    <row r="128" spans="2:11" x14ac:dyDescent="0.45">
      <c r="B128" s="39" t="s">
        <v>168</v>
      </c>
      <c r="C128" s="35" t="str">
        <f>[128]Hoja1!$A$1</f>
        <v>201-30690I</v>
      </c>
      <c r="D128" s="36" t="str">
        <f>[128]Hoja1!$C$1</f>
        <v>reten extension cig. Lado distribucion  TS/TR</v>
      </c>
      <c r="E128" s="36">
        <f>[128]Hoja1!$I$1</f>
        <v>0</v>
      </c>
      <c r="F128" s="36">
        <f>[128]Hoja1!$I$2</f>
        <v>2</v>
      </c>
      <c r="G128" s="36">
        <f>[128]Hoja1!$E$22</f>
        <v>-1</v>
      </c>
      <c r="H128" s="36">
        <f>[128]Hoja1!$H$22</f>
        <v>3</v>
      </c>
      <c r="I128" s="36">
        <f t="shared" si="1"/>
        <v>2</v>
      </c>
      <c r="J128" s="37">
        <f>MAX([128]Hoja1!$A$5:$A$22)</f>
        <v>44060</v>
      </c>
      <c r="K128" s="38" t="str">
        <f>IF(ISTEXT([128]Hoja1!$A$23),[128]Hoja1!$A$23,"")</f>
        <v/>
      </c>
    </row>
    <row r="129" spans="2:11" x14ac:dyDescent="0.45">
      <c r="B129" s="39" t="s">
        <v>169</v>
      </c>
      <c r="C129" s="35" t="str">
        <f>[129]Hoja1!$A$1</f>
        <v>201-30805A</v>
      </c>
      <c r="D129" s="36" t="str">
        <f>[129]Hoja1!$C$1</f>
        <v>junta cubierta cabeza A - TS/TR</v>
      </c>
      <c r="E129" s="36">
        <f>[129]Hoja1!$I$1</f>
        <v>0</v>
      </c>
      <c r="F129" s="36">
        <f>[129]Hoja1!$I$2</f>
        <v>2</v>
      </c>
      <c r="G129" s="36">
        <f>[129]Hoja1!$E$22</f>
        <v>0</v>
      </c>
      <c r="H129" s="36">
        <f>[129]Hoja1!$H$22</f>
        <v>116</v>
      </c>
      <c r="I129" s="36">
        <f t="shared" si="1"/>
        <v>116</v>
      </c>
      <c r="J129" s="37">
        <f>MAX([129]Hoja1!$A$5:$A$22)</f>
        <v>44043</v>
      </c>
      <c r="K129" s="38" t="str">
        <f>IF(ISTEXT([129]Hoja1!$A$23),[129]Hoja1!$A$23,"")</f>
        <v>estim  COMPRADO A GUARN 150 22-8-19</v>
      </c>
    </row>
    <row r="130" spans="2:11" x14ac:dyDescent="0.45">
      <c r="B130" s="39" t="s">
        <v>170</v>
      </c>
      <c r="C130" s="35" t="str">
        <f>[130]Hoja1!$A$1</f>
        <v>201-30805I</v>
      </c>
      <c r="D130" s="36" t="str">
        <f>[130]Hoja1!$C$1</f>
        <v>junta cubierta cabeza I TS/TR</v>
      </c>
      <c r="E130" s="36">
        <f>[130]Hoja1!$I$1</f>
        <v>0</v>
      </c>
      <c r="F130" s="36">
        <f>[130]Hoja1!$I$2</f>
        <v>2</v>
      </c>
      <c r="G130" s="36">
        <f>[130]Hoja1!$E$22</f>
        <v>0</v>
      </c>
      <c r="H130" s="36">
        <f>[130]Hoja1!$H$22</f>
        <v>7</v>
      </c>
      <c r="I130" s="36">
        <f t="shared" si="1"/>
        <v>7</v>
      </c>
      <c r="J130" s="37">
        <f>MAX([130]Hoja1!$A$5:$A$22)</f>
        <v>44043</v>
      </c>
      <c r="K130" s="38" t="str">
        <f>IF(ISTEXT([130]Hoja1!$A$23),[130]Hoja1!$A$23,"")</f>
        <v>DE DESARME</v>
      </c>
    </row>
    <row r="131" spans="2:11" x14ac:dyDescent="0.45">
      <c r="B131" s="39" t="s">
        <v>171</v>
      </c>
      <c r="C131" s="35" t="str">
        <f>[131]Hoja1!$A$1</f>
        <v>201-30943I</v>
      </c>
      <c r="D131" s="36" t="str">
        <f>[131]Hoja1!$C$1</f>
        <v>suplem soporte de bcada 0,127mm I  TS/TR</v>
      </c>
      <c r="E131" s="36">
        <f>[131]Hoja1!$I$1</f>
        <v>0</v>
      </c>
      <c r="F131" s="36">
        <f>[131]Hoja1!$I$2</f>
        <v>2</v>
      </c>
      <c r="G131" s="36">
        <f>[131]Hoja1!$E$22</f>
        <v>0</v>
      </c>
      <c r="H131" s="36">
        <f>[131]Hoja1!$H$22</f>
        <v>8</v>
      </c>
      <c r="I131" s="36">
        <f t="shared" ref="I131:I194" si="2">SUM(G131:H131)</f>
        <v>8</v>
      </c>
      <c r="J131" s="37">
        <f>MAX([131]Hoja1!$A$5:$A$22)</f>
        <v>44043</v>
      </c>
      <c r="K131" s="38" t="str">
        <f>IF(ISTEXT([131]Hoja1!$A$23),[131]Hoja1!$A$23,"")</f>
        <v/>
      </c>
    </row>
    <row r="132" spans="2:11" x14ac:dyDescent="0.45">
      <c r="B132" s="45" t="s">
        <v>172</v>
      </c>
      <c r="C132" s="35" t="str">
        <f>[132]Hoja1!$A$1</f>
        <v>201-30944I</v>
      </c>
      <c r="D132" s="36" t="str">
        <f>[132]Hoja1!$C$1</f>
        <v>suplem soporte de bcada 0,127mm I  TS/TR</v>
      </c>
      <c r="E132" s="36">
        <f>[132]Hoja1!$I$1</f>
        <v>0</v>
      </c>
      <c r="F132" s="36">
        <f>[132]Hoja1!$I$2</f>
        <v>2</v>
      </c>
      <c r="G132" s="36">
        <f>[132]Hoja1!$E$22</f>
        <v>0</v>
      </c>
      <c r="H132" s="36">
        <f>[132]Hoja1!$H$22</f>
        <v>4</v>
      </c>
      <c r="I132" s="36">
        <f t="shared" si="2"/>
        <v>4</v>
      </c>
      <c r="J132" s="37">
        <f>MAX([132]Hoja1!$A$5:$A$22)</f>
        <v>44043</v>
      </c>
      <c r="K132" s="38" t="str">
        <f>IF(ISTEXT([132]Hoja1!$A$23),[132]Hoja1!$A$23,"")</f>
        <v/>
      </c>
    </row>
    <row r="133" spans="2:11" x14ac:dyDescent="0.45">
      <c r="B133" s="45" t="s">
        <v>173</v>
      </c>
      <c r="C133" s="35" t="str">
        <f>[133]Hoja1!$A$1</f>
        <v>201-30990 I</v>
      </c>
      <c r="D133" s="36" t="str">
        <f>[133]Hoja1!$C$1</f>
        <v xml:space="preserve">esparrago de cbza I </v>
      </c>
      <c r="E133" s="36">
        <f>[133]Hoja1!$I$1</f>
        <v>0</v>
      </c>
      <c r="F133" s="36">
        <f>[133]Hoja1!$I$2</f>
        <v>2</v>
      </c>
      <c r="G133" s="36">
        <f>[133]Hoja1!$E$22</f>
        <v>0</v>
      </c>
      <c r="H133" s="36">
        <f>[133]Hoja1!$H$22</f>
        <v>2</v>
      </c>
      <c r="I133" s="36">
        <f t="shared" si="2"/>
        <v>2</v>
      </c>
      <c r="J133" s="37">
        <f>MAX([133]Hoja1!$A$5:$A$22)</f>
        <v>44043</v>
      </c>
      <c r="K133" s="38" t="str">
        <f>IF(ISTEXT([133]Hoja1!$A$23),[133]Hoja1!$A$23,"")</f>
        <v/>
      </c>
    </row>
    <row r="134" spans="2:11" x14ac:dyDescent="0.45">
      <c r="B134" s="45" t="s">
        <v>174</v>
      </c>
      <c r="C134" s="35" t="str">
        <f>[134]Hoja1!$A$1</f>
        <v xml:space="preserve"> 201-31141 I</v>
      </c>
      <c r="D134" s="36" t="str">
        <f>[134]Hoja1!$C$1</f>
        <v>perno reg.</v>
      </c>
      <c r="E134" s="36">
        <f>[134]Hoja1!$I$1</f>
        <v>0</v>
      </c>
      <c r="F134" s="36">
        <f>[134]Hoja1!$I$2</f>
        <v>2</v>
      </c>
      <c r="G134" s="36">
        <f>[134]Hoja1!$E$22</f>
        <v>0</v>
      </c>
      <c r="H134" s="36">
        <f>[134]Hoja1!$H$22</f>
        <v>1</v>
      </c>
      <c r="I134" s="36">
        <f t="shared" si="2"/>
        <v>1</v>
      </c>
      <c r="J134" s="37">
        <f>MAX([134]Hoja1!$A$5:$A$22)</f>
        <v>44043</v>
      </c>
      <c r="K134" s="38" t="str">
        <f>IF(ISTEXT([134]Hoja1!$A$23),[134]Hoja1!$A$23,"")</f>
        <v/>
      </c>
    </row>
    <row r="135" spans="2:11" x14ac:dyDescent="0.45">
      <c r="B135" s="39" t="s">
        <v>574</v>
      </c>
      <c r="C135" s="35" t="str">
        <f>[135]Hoja1!$A$1</f>
        <v>201-31160I</v>
      </c>
      <c r="D135" s="36" t="str">
        <f>[135]Hoja1!$C$1</f>
        <v>conjunto palanca del</v>
      </c>
      <c r="E135" s="36">
        <f>[135]Hoja1!$I$1</f>
        <v>0</v>
      </c>
      <c r="F135" s="36">
        <f>[135]Hoja1!$I$2</f>
        <v>2</v>
      </c>
      <c r="G135" s="36">
        <f>[135]Hoja1!$E$22</f>
        <v>0</v>
      </c>
      <c r="H135" s="36">
        <f>[135]Hoja1!$H$22</f>
        <v>1</v>
      </c>
      <c r="I135" s="36">
        <f t="shared" si="2"/>
        <v>1</v>
      </c>
      <c r="J135" s="37">
        <f>MAX([135]Hoja1!$A$5:$A$22)</f>
        <v>44043</v>
      </c>
      <c r="K135" s="38" t="str">
        <f>IF(ISTEXT([135]Hoja1!$A$23),[135]Hoja1!$A$23,"")</f>
        <v/>
      </c>
    </row>
    <row r="136" spans="2:11" x14ac:dyDescent="0.45">
      <c r="B136" s="39" t="s">
        <v>175</v>
      </c>
      <c r="C136" s="35" t="str">
        <f>[136]Hoja1!$A$1</f>
        <v>201-31240I</v>
      </c>
      <c r="D136" s="36" t="str">
        <f>[136]Hoja1!$C$1</f>
        <v>perno de resorte de veloc.I  TS/TR</v>
      </c>
      <c r="E136" s="36">
        <f>[136]Hoja1!$I$1</f>
        <v>0</v>
      </c>
      <c r="F136" s="36">
        <f>[136]Hoja1!$I$2</f>
        <v>2</v>
      </c>
      <c r="G136" s="36">
        <f>[136]Hoja1!$E$22</f>
        <v>0</v>
      </c>
      <c r="H136" s="36">
        <f>[136]Hoja1!$H$22</f>
        <v>2</v>
      </c>
      <c r="I136" s="36">
        <f t="shared" si="2"/>
        <v>2</v>
      </c>
      <c r="J136" s="37">
        <f>MAX([136]Hoja1!$A$5:$A$22)</f>
        <v>44043</v>
      </c>
      <c r="K136" s="38" t="str">
        <f>IF(ISTEXT([136]Hoja1!$A$23),[136]Hoja1!$A$23,"")</f>
        <v/>
      </c>
    </row>
    <row r="137" spans="2:11" x14ac:dyDescent="0.45">
      <c r="B137" s="45" t="s">
        <v>176</v>
      </c>
      <c r="C137" s="35" t="str">
        <f>[137]Hoja1!$A$1</f>
        <v>201-31305I    VER 201-48540</v>
      </c>
      <c r="D137" s="36" t="str">
        <f>[137]Hoja1!$C$1</f>
        <v>bomba inyectora TR TS</v>
      </c>
      <c r="E137" s="36">
        <f>[137]Hoja1!$I$1</f>
        <v>0</v>
      </c>
      <c r="F137" s="36">
        <f>[137]Hoja1!$I$2</f>
        <v>2</v>
      </c>
      <c r="G137" s="36">
        <f>[137]Hoja1!$E$22</f>
        <v>0</v>
      </c>
      <c r="H137" s="36">
        <f>[137]Hoja1!$H$22</f>
        <v>0</v>
      </c>
      <c r="I137" s="36">
        <f t="shared" si="2"/>
        <v>0</v>
      </c>
      <c r="J137" s="37">
        <f>MAX([137]Hoja1!$A$5:$A$22)</f>
        <v>44043</v>
      </c>
      <c r="K137" s="38" t="str">
        <f>IF(ISTEXT([137]Hoja1!$A$23),[137]Hoja1!$A$23,"")</f>
        <v>REEMPLAZADA POR 201-48540</v>
      </c>
    </row>
    <row r="138" spans="2:11" x14ac:dyDescent="0.45">
      <c r="B138" s="39" t="s">
        <v>177</v>
      </c>
      <c r="C138" s="35" t="str">
        <f>[138]Hoja1!$A$1</f>
        <v>201-31312I</v>
      </c>
      <c r="D138" s="36" t="str">
        <f>[138]Hoja1!$C$1</f>
        <v>resorte retorno del regulador TS/TR</v>
      </c>
      <c r="E138" s="36">
        <f>[138]Hoja1!$I$1</f>
        <v>0</v>
      </c>
      <c r="F138" s="36">
        <f>[138]Hoja1!$I$2</f>
        <v>2</v>
      </c>
      <c r="G138" s="36">
        <f>[138]Hoja1!$E$22</f>
        <v>0</v>
      </c>
      <c r="H138" s="36">
        <f>[138]Hoja1!$H$22</f>
        <v>2</v>
      </c>
      <c r="I138" s="36">
        <f t="shared" si="2"/>
        <v>2</v>
      </c>
      <c r="J138" s="37">
        <f>MAX([138]Hoja1!$A$5:$A$22)</f>
        <v>44043</v>
      </c>
      <c r="K138" s="38" t="str">
        <f>IF(ISTEXT([138]Hoja1!$A$23),[138]Hoja1!$A$23,"")</f>
        <v/>
      </c>
    </row>
    <row r="139" spans="2:11" x14ac:dyDescent="0.45">
      <c r="B139" s="39" t="s">
        <v>178</v>
      </c>
      <c r="C139" s="35" t="str">
        <f>[139]Hoja1!$A$1</f>
        <v>201-31340I</v>
      </c>
      <c r="D139" s="36" t="str">
        <f>[139]Hoja1!$C$1</f>
        <v>resorte de palanca del regulador TS/TR</v>
      </c>
      <c r="E139" s="36">
        <f>[139]Hoja1!$I$1</f>
        <v>0</v>
      </c>
      <c r="F139" s="36">
        <f>[139]Hoja1!$I$2</f>
        <v>2</v>
      </c>
      <c r="G139" s="36">
        <f>[139]Hoja1!$E$22</f>
        <v>0</v>
      </c>
      <c r="H139" s="36">
        <f>[139]Hoja1!$H$22</f>
        <v>0</v>
      </c>
      <c r="I139" s="36">
        <f t="shared" si="2"/>
        <v>0</v>
      </c>
      <c r="J139" s="37">
        <f>MAX([139]Hoja1!$A$5:$A$22)</f>
        <v>44043</v>
      </c>
      <c r="K139" s="38" t="str">
        <f>IF(ISTEXT([139]Hoja1!$A$23),[139]Hoja1!$A$23,"")</f>
        <v/>
      </c>
    </row>
    <row r="140" spans="2:11" x14ac:dyDescent="0.45">
      <c r="B140" s="39" t="s">
        <v>179</v>
      </c>
      <c r="C140" s="35" t="str">
        <f>[140]Hoja1!$A$1</f>
        <v>201-31364I</v>
      </c>
      <c r="D140" s="36" t="str">
        <f>[140]Hoja1!$C$1</f>
        <v>resorte de velocidad del regulador TS/TR</v>
      </c>
      <c r="E140" s="36">
        <f>[140]Hoja1!$I$1</f>
        <v>0</v>
      </c>
      <c r="F140" s="36">
        <f>[140]Hoja1!$I$2</f>
        <v>2</v>
      </c>
      <c r="G140" s="36">
        <f>[140]Hoja1!$E$22</f>
        <v>0</v>
      </c>
      <c r="H140" s="36">
        <f>[140]Hoja1!$H$22</f>
        <v>11</v>
      </c>
      <c r="I140" s="36">
        <f t="shared" si="2"/>
        <v>11</v>
      </c>
      <c r="J140" s="37">
        <f>MAX([140]Hoja1!$A$5:$A$22)</f>
        <v>44043</v>
      </c>
      <c r="K140" s="38" t="str">
        <f>IF(ISTEXT([140]Hoja1!$A$23),[140]Hoja1!$A$23,"")</f>
        <v/>
      </c>
    </row>
    <row r="141" spans="2:11" x14ac:dyDescent="0.45">
      <c r="B141" s="39" t="s">
        <v>180</v>
      </c>
      <c r="C141" s="35" t="str">
        <f>[141]Hoja1!$A$1</f>
        <v>201-31381I</v>
      </c>
      <c r="D141" s="36" t="str">
        <f>[141]Hoja1!$C$1</f>
        <v>placa de retencion de parada manual  TS/TR</v>
      </c>
      <c r="E141" s="36">
        <f>[141]Hoja1!$I$1</f>
        <v>0</v>
      </c>
      <c r="F141" s="36">
        <f>[141]Hoja1!$I$2</f>
        <v>2</v>
      </c>
      <c r="G141" s="36">
        <f>[141]Hoja1!$E$22</f>
        <v>0</v>
      </c>
      <c r="H141" s="36">
        <f>[141]Hoja1!$H$22</f>
        <v>4</v>
      </c>
      <c r="I141" s="36">
        <f t="shared" si="2"/>
        <v>4</v>
      </c>
      <c r="J141" s="37">
        <f>MAX([141]Hoja1!$A$5:$A$22)</f>
        <v>44043</v>
      </c>
      <c r="K141" s="38" t="str">
        <f>IF(ISTEXT([141]Hoja1!$A$23),[141]Hoja1!$A$23,"")</f>
        <v/>
      </c>
    </row>
    <row r="142" spans="2:11" x14ac:dyDescent="0.45">
      <c r="B142" s="39" t="s">
        <v>181</v>
      </c>
      <c r="C142" s="35" t="str">
        <f>[142]Hoja1!$A$1</f>
        <v>201-31460A</v>
      </c>
      <c r="D142" s="36" t="str">
        <f>[142]Hoja1!$C$1</f>
        <v xml:space="preserve"> o'ring eje de  balancín A</v>
      </c>
      <c r="E142" s="36">
        <f>[142]Hoja1!$I$1</f>
        <v>0</v>
      </c>
      <c r="F142" s="36">
        <f>[142]Hoja1!$I$2</f>
        <v>2</v>
      </c>
      <c r="G142" s="36">
        <f>[142]Hoja1!$E$22</f>
        <v>0</v>
      </c>
      <c r="H142" s="36">
        <f>[142]Hoja1!$H$22</f>
        <v>89</v>
      </c>
      <c r="I142" s="36">
        <f t="shared" si="2"/>
        <v>89</v>
      </c>
      <c r="J142" s="37">
        <f>MAX([142]Hoja1!$A$5:$A$22)</f>
        <v>44043</v>
      </c>
      <c r="K142" s="38" t="str">
        <f>IF(ISTEXT([142]Hoja1!$A$23),[142]Hoja1!$A$23,"")</f>
        <v/>
      </c>
    </row>
    <row r="143" spans="2:11" x14ac:dyDescent="0.45">
      <c r="B143" s="39" t="s">
        <v>182</v>
      </c>
      <c r="C143" s="35" t="str">
        <f>[143]Hoja1!$A$1</f>
        <v>201-31460I</v>
      </c>
      <c r="D143" s="36" t="str">
        <f>[143]Hoja1!$C$1</f>
        <v>o´ring de eje de balancin TS/TR</v>
      </c>
      <c r="E143" s="36">
        <f>[143]Hoja1!$I$1</f>
        <v>0</v>
      </c>
      <c r="F143" s="36">
        <f>[143]Hoja1!$I$2</f>
        <v>2</v>
      </c>
      <c r="G143" s="36">
        <f>[143]Hoja1!$E$22</f>
        <v>0</v>
      </c>
      <c r="H143" s="36">
        <f>[143]Hoja1!$H$22</f>
        <v>0</v>
      </c>
      <c r="I143" s="36">
        <f t="shared" si="2"/>
        <v>0</v>
      </c>
      <c r="J143" s="37">
        <f>MAX([143]Hoja1!$A$5:$A$22)</f>
        <v>44043</v>
      </c>
      <c r="K143" s="38" t="str">
        <f>IF(ISTEXT([143]Hoja1!$A$23),[143]Hoja1!$A$23,"")</f>
        <v/>
      </c>
    </row>
    <row r="144" spans="2:11" x14ac:dyDescent="0.45">
      <c r="B144" s="39" t="s">
        <v>183</v>
      </c>
      <c r="C144" s="35" t="str">
        <f>[144]Hoja1!$A$1</f>
        <v>201-31474A</v>
      </c>
      <c r="D144" s="36" t="str">
        <f>[144]Hoja1!$C$1</f>
        <v>caño del inyector TS/TR</v>
      </c>
      <c r="E144" s="36">
        <f>[144]Hoja1!$I$1</f>
        <v>0</v>
      </c>
      <c r="F144" s="36">
        <f>[144]Hoja1!$I$2</f>
        <v>2</v>
      </c>
      <c r="G144" s="36">
        <f>[144]Hoja1!$E$22</f>
        <v>0</v>
      </c>
      <c r="H144" s="36">
        <f>[144]Hoja1!$H$22</f>
        <v>10</v>
      </c>
      <c r="I144" s="36">
        <f t="shared" si="2"/>
        <v>10</v>
      </c>
      <c r="J144" s="37">
        <f>MAX([144]Hoja1!$A$5:$A$22)</f>
        <v>44043</v>
      </c>
      <c r="K144" s="38" t="str">
        <f>IF(ISTEXT([144]Hoja1!$A$23),[144]Hoja1!$A$23,"")</f>
        <v>más  uno muestra importado</v>
      </c>
    </row>
    <row r="145" spans="2:11" x14ac:dyDescent="0.45">
      <c r="B145" s="39" t="s">
        <v>184</v>
      </c>
      <c r="C145" s="35" t="str">
        <f>[145]Hoja1!$A$1</f>
        <v>201-32430A</v>
      </c>
      <c r="D145" s="36" t="str">
        <f>[145]Hoja1!$C$1</f>
        <v>suplemento cab de cilindro A - TS/TR</v>
      </c>
      <c r="E145" s="36">
        <f>[145]Hoja1!$I$1</f>
        <v>0</v>
      </c>
      <c r="F145" s="36">
        <f>[145]Hoja1!$I$2</f>
        <v>2</v>
      </c>
      <c r="G145" s="36">
        <f>[145]Hoja1!$E$22</f>
        <v>0</v>
      </c>
      <c r="H145" s="36">
        <f>[145]Hoja1!$H$22</f>
        <v>92</v>
      </c>
      <c r="I145" s="36">
        <f t="shared" si="2"/>
        <v>92</v>
      </c>
      <c r="J145" s="37">
        <f>MAX([145]Hoja1!$A$5:$A$22)</f>
        <v>44043</v>
      </c>
      <c r="K145" s="38" t="str">
        <f>IF(ISTEXT([145]Hoja1!$A$23),[145]Hoja1!$A$23,"")</f>
        <v>más  uno muestra importado</v>
      </c>
    </row>
    <row r="146" spans="2:11" x14ac:dyDescent="0.45">
      <c r="B146" s="39" t="s">
        <v>185</v>
      </c>
      <c r="C146" s="35" t="str">
        <f>[146]Hoja1!$A$1</f>
        <v>201-32430I</v>
      </c>
      <c r="D146" s="36" t="str">
        <f>[146]Hoja1!$C$1</f>
        <v>suplemento cab de cilindro I- TS/TR</v>
      </c>
      <c r="E146" s="36">
        <f>[146]Hoja1!$I$1</f>
        <v>0</v>
      </c>
      <c r="F146" s="36">
        <f>[146]Hoja1!$I$2</f>
        <v>2</v>
      </c>
      <c r="G146" s="36">
        <f>[146]Hoja1!$E$22</f>
        <v>0</v>
      </c>
      <c r="H146" s="36">
        <f>[146]Hoja1!$H$22</f>
        <v>2</v>
      </c>
      <c r="I146" s="36">
        <f t="shared" si="2"/>
        <v>2</v>
      </c>
      <c r="J146" s="37">
        <f>MAX([146]Hoja1!$A$5:$A$22)</f>
        <v>44043</v>
      </c>
      <c r="K146" s="38" t="str">
        <f>IF(ISTEXT([146]Hoja1!$A$23),[146]Hoja1!$A$23,"")</f>
        <v>más  uno muestra importado</v>
      </c>
    </row>
    <row r="147" spans="2:11" x14ac:dyDescent="0.45">
      <c r="B147" s="39" t="s">
        <v>186</v>
      </c>
      <c r="C147" s="35" t="str">
        <f>[147]Hoja1!$A$1</f>
        <v>201-32740I</v>
      </c>
      <c r="D147" s="36" t="str">
        <f>[147]Hoja1!$C$1</f>
        <v>reten I- TS/TR</v>
      </c>
      <c r="E147" s="36">
        <f>[147]Hoja1!$I$1</f>
        <v>0</v>
      </c>
      <c r="F147" s="36">
        <f>[147]Hoja1!$I$2</f>
        <v>2</v>
      </c>
      <c r="G147" s="36">
        <f>[147]Hoja1!$E$22</f>
        <v>0</v>
      </c>
      <c r="H147" s="36">
        <f>[147]Hoja1!$H$22</f>
        <v>1</v>
      </c>
      <c r="I147" s="36">
        <f t="shared" si="2"/>
        <v>1</v>
      </c>
      <c r="J147" s="37">
        <f>MAX([147]Hoja1!$A$5:$A$22)</f>
        <v>44043</v>
      </c>
      <c r="K147" s="38" t="str">
        <f>IF(ISTEXT([147]Hoja1!$A$23),[147]Hoja1!$A$23,"")</f>
        <v>ver aplicación</v>
      </c>
    </row>
    <row r="148" spans="2:11" x14ac:dyDescent="0.45">
      <c r="B148" s="39" t="s">
        <v>187</v>
      </c>
      <c r="C148" s="35" t="str">
        <f>[148]Hoja1!$A$1</f>
        <v>201-32804I</v>
      </c>
      <c r="D148" s="36" t="str">
        <f>[148]Hoja1!$C$1</f>
        <v>cilindro /TR</v>
      </c>
      <c r="E148" s="36">
        <f>[148]Hoja1!$I$1</f>
        <v>0</v>
      </c>
      <c r="F148" s="36">
        <f>[148]Hoja1!$I$2</f>
        <v>2</v>
      </c>
      <c r="G148" s="36">
        <f>[148]Hoja1!$E$22</f>
        <v>0</v>
      </c>
      <c r="H148" s="36">
        <f>[148]Hoja1!$H$22</f>
        <v>0</v>
      </c>
      <c r="I148" s="36">
        <f t="shared" si="2"/>
        <v>0</v>
      </c>
      <c r="J148" s="37">
        <f>MAX([148]Hoja1!$A$5:$A$22)</f>
        <v>44043</v>
      </c>
      <c r="K148" s="38" t="str">
        <f>IF(ISTEXT([148]Hoja1!$A$23),[148]Hoja1!$A$23,"")</f>
        <v>ver aplicación</v>
      </c>
    </row>
    <row r="149" spans="2:11" x14ac:dyDescent="0.45">
      <c r="B149" s="39" t="s">
        <v>188</v>
      </c>
      <c r="C149" s="35" t="str">
        <f>[149]Hoja1!$A$1</f>
        <v>201-33011I</v>
      </c>
      <c r="D149" s="36" t="str">
        <f>[149]Hoja1!$C$1</f>
        <v>junta cubierta extremo . I-TS/TR</v>
      </c>
      <c r="E149" s="36">
        <f>[149]Hoja1!$I$1</f>
        <v>0</v>
      </c>
      <c r="F149" s="36">
        <f>[149]Hoja1!$I$2</f>
        <v>2</v>
      </c>
      <c r="G149" s="36">
        <f>[149]Hoja1!$E$22</f>
        <v>0</v>
      </c>
      <c r="H149" s="36">
        <f>[149]Hoja1!$H$22</f>
        <v>9</v>
      </c>
      <c r="I149" s="36">
        <f t="shared" si="2"/>
        <v>9</v>
      </c>
      <c r="J149" s="37">
        <f>MAX([149]Hoja1!$A$5:$A$22)</f>
        <v>44043</v>
      </c>
      <c r="K149" s="38" t="str">
        <f>IF(ISTEXT([149]Hoja1!$A$23),[149]Hoja1!$A$23,"")</f>
        <v>ver aplicación</v>
      </c>
    </row>
    <row r="150" spans="2:11" x14ac:dyDescent="0.45">
      <c r="B150" s="39" t="s">
        <v>189</v>
      </c>
      <c r="C150" s="35" t="str">
        <f>[150]Hoja1!$A$1</f>
        <v>201-33070I</v>
      </c>
      <c r="D150" s="36" t="str">
        <f>[150]Hoja1!$C$1</f>
        <v>valvula de admision TS/TR</v>
      </c>
      <c r="E150" s="36">
        <f>[150]Hoja1!$I$1</f>
        <v>0</v>
      </c>
      <c r="F150" s="36">
        <f>[150]Hoja1!$I$2</f>
        <v>2</v>
      </c>
      <c r="G150" s="36">
        <f>[150]Hoja1!$E$22</f>
        <v>-2</v>
      </c>
      <c r="H150" s="36">
        <f>[150]Hoja1!$H$22</f>
        <v>24</v>
      </c>
      <c r="I150" s="36">
        <f t="shared" si="2"/>
        <v>22</v>
      </c>
      <c r="J150" s="37">
        <f>MAX([150]Hoja1!$A$5:$A$22)</f>
        <v>44116</v>
      </c>
      <c r="K150" s="38" t="str">
        <f>IF(ISTEXT([150]Hoja1!$A$23),[150]Hoja1!$A$23,"")</f>
        <v/>
      </c>
    </row>
    <row r="151" spans="2:11" x14ac:dyDescent="0.45">
      <c r="B151" s="39" t="s">
        <v>190</v>
      </c>
      <c r="C151" s="35" t="str">
        <f>[151]Hoja1!$A$1</f>
        <v>201-33080I</v>
      </c>
      <c r="D151" s="36" t="str">
        <f>[151]Hoja1!$C$1</f>
        <v>valvula de escape  TS/TR</v>
      </c>
      <c r="E151" s="36">
        <f>[151]Hoja1!$I$1</f>
        <v>0</v>
      </c>
      <c r="F151" s="36">
        <f>[151]Hoja1!$I$2</f>
        <v>2</v>
      </c>
      <c r="G151" s="36">
        <f>[151]Hoja1!$E$22</f>
        <v>-2</v>
      </c>
      <c r="H151" s="36">
        <f>[151]Hoja1!$H$22</f>
        <v>22</v>
      </c>
      <c r="I151" s="36">
        <f t="shared" si="2"/>
        <v>20</v>
      </c>
      <c r="J151" s="37">
        <f>MAX([151]Hoja1!$A$5:$A$22)</f>
        <v>44116</v>
      </c>
      <c r="K151" s="38" t="str">
        <f>IF(ISTEXT([151]Hoja1!$A$23),[151]Hoja1!$A$23,"")</f>
        <v/>
      </c>
    </row>
    <row r="152" spans="2:11" x14ac:dyDescent="0.45">
      <c r="B152" s="39" t="s">
        <v>191</v>
      </c>
      <c r="C152" s="35" t="str">
        <f>[152]Hoja1!$A$1</f>
        <v>201-33100I</v>
      </c>
      <c r="D152" s="36" t="str">
        <f>[152]Hoja1!$C$1</f>
        <v>suplemento de cabeza - fino  TS/TR</v>
      </c>
      <c r="E152" s="36">
        <f>[152]Hoja1!$I$1</f>
        <v>0</v>
      </c>
      <c r="F152" s="36">
        <f>[152]Hoja1!$I$2</f>
        <v>2</v>
      </c>
      <c r="G152" s="36">
        <f>[152]Hoja1!$E$22</f>
        <v>0</v>
      </c>
      <c r="H152" s="36">
        <f>[152]Hoja1!$H$22</f>
        <v>130</v>
      </c>
      <c r="I152" s="36">
        <f t="shared" si="2"/>
        <v>130</v>
      </c>
      <c r="J152" s="37">
        <f>MAX([152]Hoja1!$A$5:$A$22)</f>
        <v>44043</v>
      </c>
      <c r="K152" s="38" t="str">
        <f>IF(ISTEXT([152]Hoja1!$A$23),[152]Hoja1!$A$23,"")</f>
        <v>(BUENA MAS OXIDADAS)</v>
      </c>
    </row>
    <row r="153" spans="2:11" x14ac:dyDescent="0.45">
      <c r="B153" s="39" t="s">
        <v>192</v>
      </c>
      <c r="C153" s="35" t="str">
        <f>[153]Hoja1!$A$1</f>
        <v>201-33101I</v>
      </c>
      <c r="D153" s="36" t="str">
        <f>[153]Hoja1!$C$1</f>
        <v>suplemento de cabeza - grueso  TS/TR</v>
      </c>
      <c r="E153" s="36">
        <f>[153]Hoja1!$I$1</f>
        <v>0</v>
      </c>
      <c r="F153" s="36">
        <f>[153]Hoja1!$I$2</f>
        <v>2</v>
      </c>
      <c r="G153" s="36">
        <f>[153]Hoja1!$E$22</f>
        <v>0</v>
      </c>
      <c r="H153" s="36">
        <f>[153]Hoja1!$H$22</f>
        <v>19</v>
      </c>
      <c r="I153" s="36">
        <f t="shared" si="2"/>
        <v>19</v>
      </c>
      <c r="J153" s="37">
        <f>MAX([153]Hoja1!$A$5:$A$22)</f>
        <v>44043</v>
      </c>
      <c r="K153" s="38" t="str">
        <f>IF(ISTEXT([153]Hoja1!$A$23),[153]Hoja1!$A$23,"")</f>
        <v>**(BUENAS 16 + 3 OXIDADAS)</v>
      </c>
    </row>
    <row r="154" spans="2:11" x14ac:dyDescent="0.45">
      <c r="B154" s="39" t="s">
        <v>193</v>
      </c>
      <c r="C154" s="35" t="str">
        <f>[154]Hoja1!$A$1</f>
        <v>201-33110I</v>
      </c>
      <c r="D154" s="36" t="str">
        <f>[154]Hoja1!$C$1</f>
        <v>junta  de cabeza - grueso  TS/TR</v>
      </c>
      <c r="E154" s="36">
        <f>[154]Hoja1!$I$1</f>
        <v>0</v>
      </c>
      <c r="F154" s="36">
        <f>[154]Hoja1!$I$2</f>
        <v>2</v>
      </c>
      <c r="G154" s="36">
        <f>[154]Hoja1!$E$22</f>
        <v>0</v>
      </c>
      <c r="H154" s="36">
        <f>[154]Hoja1!$H$22</f>
        <v>45</v>
      </c>
      <c r="I154" s="36">
        <f t="shared" si="2"/>
        <v>45</v>
      </c>
      <c r="J154" s="37">
        <f>MAX([154]Hoja1!$A$5:$A$22)</f>
        <v>44043</v>
      </c>
      <c r="K154" s="38" t="str">
        <f>IF(ISTEXT([154]Hoja1!$A$23),[154]Hoja1!$A$23,"")</f>
        <v>DIEZ DE DESARME</v>
      </c>
    </row>
    <row r="155" spans="2:11" x14ac:dyDescent="0.45">
      <c r="B155" s="39" t="s">
        <v>194</v>
      </c>
      <c r="C155" s="35" t="str">
        <f>[155]Hoja1!$A$1</f>
        <v>201-33420I</v>
      </c>
      <c r="D155" s="36" t="str">
        <f>[155]Hoja1!$C$1</f>
        <v>junta  de multiple  TS/TR</v>
      </c>
      <c r="E155" s="36">
        <f>[155]Hoja1!$I$1</f>
        <v>0</v>
      </c>
      <c r="F155" s="36">
        <f>[155]Hoja1!$I$2</f>
        <v>2</v>
      </c>
      <c r="G155" s="36">
        <f>[155]Hoja1!$E$22</f>
        <v>22</v>
      </c>
      <c r="H155" s="36">
        <f>[155]Hoja1!$H$22</f>
        <v>10</v>
      </c>
      <c r="I155" s="36">
        <f t="shared" si="2"/>
        <v>32</v>
      </c>
      <c r="J155" s="37">
        <f>MAX([155]Hoja1!$A$5:$A$22)</f>
        <v>44056</v>
      </c>
      <c r="K155" s="38" t="str">
        <f>IF(ISTEXT([155]Hoja1!$A$23),[155]Hoja1!$A$23,"")</f>
        <v/>
      </c>
    </row>
    <row r="156" spans="2:11" x14ac:dyDescent="0.45">
      <c r="B156" s="39" t="s">
        <v>195</v>
      </c>
      <c r="C156" s="35" t="str">
        <f>[156]Hoja1!$A$1</f>
        <v>201-37291I</v>
      </c>
      <c r="D156" s="36" t="str">
        <f>[156]Hoja1!$C$1</f>
        <v>perilla del control de parada  TS/TR</v>
      </c>
      <c r="E156" s="36">
        <f>[156]Hoja1!$I$1</f>
        <v>0</v>
      </c>
      <c r="F156" s="36">
        <f>[156]Hoja1!$I$2</f>
        <v>2</v>
      </c>
      <c r="G156" s="36">
        <f>[156]Hoja1!$E$22</f>
        <v>0</v>
      </c>
      <c r="H156" s="36">
        <f>[156]Hoja1!$H$22</f>
        <v>4</v>
      </c>
      <c r="I156" s="36">
        <f t="shared" si="2"/>
        <v>4</v>
      </c>
      <c r="J156" s="37">
        <f>MAX([156]Hoja1!$A$5:$A$22)</f>
        <v>44043</v>
      </c>
      <c r="K156" s="38" t="str">
        <f>IF(ISTEXT([156]Hoja1!$A$23),[156]Hoja1!$A$23,"")</f>
        <v/>
      </c>
    </row>
    <row r="157" spans="2:11" x14ac:dyDescent="0.45">
      <c r="B157" s="39" t="s">
        <v>196</v>
      </c>
      <c r="C157" s="35" t="str">
        <f>[157]Hoja1!$A$1</f>
        <v>201-37630I</v>
      </c>
      <c r="D157" s="36" t="str">
        <f>[157]Hoja1!$C$1</f>
        <v>reten de valvula de admis  TS/TR</v>
      </c>
      <c r="E157" s="36">
        <f>[157]Hoja1!$I$1</f>
        <v>0</v>
      </c>
      <c r="F157" s="36">
        <f>[157]Hoja1!$I$2</f>
        <v>2</v>
      </c>
      <c r="G157" s="36">
        <f>[157]Hoja1!$E$22</f>
        <v>0</v>
      </c>
      <c r="H157" s="36">
        <f>[157]Hoja1!$H$22</f>
        <v>12</v>
      </c>
      <c r="I157" s="36">
        <f t="shared" si="2"/>
        <v>12</v>
      </c>
      <c r="J157" s="37">
        <f>MAX([157]Hoja1!$A$5:$A$22)</f>
        <v>44043</v>
      </c>
      <c r="K157" s="38" t="str">
        <f>IF(ISTEXT([157]Hoja1!$A$23),[157]Hoja1!$A$23,"")</f>
        <v/>
      </c>
    </row>
    <row r="158" spans="2:11" x14ac:dyDescent="0.45">
      <c r="B158" s="39" t="s">
        <v>197</v>
      </c>
      <c r="C158" s="35" t="str">
        <f>[158]Hoja1!$A$1</f>
        <v>201-37660I</v>
      </c>
      <c r="D158" s="36" t="str">
        <f>[158]Hoja1!$C$1</f>
        <v>piñon del cigüeñal  TS/TR</v>
      </c>
      <c r="E158" s="36">
        <f>[158]Hoja1!$I$1</f>
        <v>0</v>
      </c>
      <c r="F158" s="36">
        <f>[158]Hoja1!$I$2</f>
        <v>2</v>
      </c>
      <c r="G158" s="36">
        <f>[158]Hoja1!$E$22</f>
        <v>1</v>
      </c>
      <c r="H158" s="36">
        <f>[158]Hoja1!$H$22</f>
        <v>1</v>
      </c>
      <c r="I158" s="36">
        <f t="shared" si="2"/>
        <v>2</v>
      </c>
      <c r="J158" s="37">
        <f>MAX([158]Hoja1!$A$5:$A$22)</f>
        <v>44135</v>
      </c>
      <c r="K158" s="38" t="str">
        <f>IF(ISTEXT([158]Hoja1!$A$23),[158]Hoja1!$A$23,"")</f>
        <v>revisar stock sj</v>
      </c>
    </row>
    <row r="159" spans="2:11" x14ac:dyDescent="0.45">
      <c r="B159" s="39" t="s">
        <v>198</v>
      </c>
      <c r="C159" s="35" t="str">
        <f>[159]Hoja1!$A$1</f>
        <v>201-37751A</v>
      </c>
      <c r="D159" s="36" t="str">
        <f>[159]Hoja1!$C$1</f>
        <v>junta carter   TS/TR1</v>
      </c>
      <c r="E159" s="36">
        <f>[159]Hoja1!$I$1</f>
        <v>0</v>
      </c>
      <c r="F159" s="36">
        <f>[159]Hoja1!$I$2</f>
        <v>2</v>
      </c>
      <c r="G159" s="36">
        <f>[159]Hoja1!$E$22</f>
        <v>2</v>
      </c>
      <c r="H159" s="36">
        <f>[159]Hoja1!$H$22</f>
        <v>38</v>
      </c>
      <c r="I159" s="36">
        <f t="shared" si="2"/>
        <v>40</v>
      </c>
      <c r="J159" s="37">
        <f>MAX([159]Hoja1!$A$5:$A$22)</f>
        <v>44043</v>
      </c>
      <c r="K159" s="38" t="str">
        <f>IF(ISTEXT([159]Hoja1!$A$23),[159]Hoja1!$A$23,"")</f>
        <v>hay dos mas originales</v>
      </c>
    </row>
    <row r="160" spans="2:11" x14ac:dyDescent="0.45">
      <c r="B160" s="45" t="s">
        <v>199</v>
      </c>
      <c r="C160" s="35" t="str">
        <f>[160]Hoja1!$A$1</f>
        <v>201-37751A</v>
      </c>
      <c r="D160" s="36" t="str">
        <f>[160]Hoja1!$C$1</f>
        <v>junta carter   TS/TR1</v>
      </c>
      <c r="E160" s="36">
        <f>[160]Hoja1!$I$1</f>
        <v>0</v>
      </c>
      <c r="F160" s="36">
        <f>[160]Hoja1!$I$2</f>
        <v>2</v>
      </c>
      <c r="G160" s="36">
        <f>[160]Hoja1!$E$22</f>
        <v>2</v>
      </c>
      <c r="H160" s="36">
        <f>[160]Hoja1!$H$22</f>
        <v>38</v>
      </c>
      <c r="I160" s="36">
        <f t="shared" si="2"/>
        <v>40</v>
      </c>
      <c r="J160" s="37">
        <f>MAX([160]Hoja1!$A$5:$A$22)</f>
        <v>44043</v>
      </c>
      <c r="K160" s="38" t="str">
        <f>IF(ISTEXT([160]Hoja1!$A$23),[160]Hoja1!$A$23,"")</f>
        <v>hay dos mas originales</v>
      </c>
    </row>
    <row r="161" spans="2:11" x14ac:dyDescent="0.45">
      <c r="B161" s="39" t="s">
        <v>200</v>
      </c>
      <c r="C161" s="35" t="str">
        <f>[161]Hoja1!$A$1</f>
        <v>201-38010I</v>
      </c>
      <c r="D161" s="36" t="str">
        <f>[161]Hoja1!$C$1</f>
        <v>resorte de parada   TS/TR</v>
      </c>
      <c r="E161" s="36">
        <f>[161]Hoja1!$I$1</f>
        <v>0</v>
      </c>
      <c r="F161" s="36">
        <f>[161]Hoja1!$I$2</f>
        <v>2</v>
      </c>
      <c r="G161" s="36">
        <f>[161]Hoja1!$E$22</f>
        <v>0</v>
      </c>
      <c r="H161" s="36">
        <f>[161]Hoja1!$H$22</f>
        <v>1</v>
      </c>
      <c r="I161" s="36">
        <f t="shared" si="2"/>
        <v>1</v>
      </c>
      <c r="J161" s="37">
        <f>MAX([161]Hoja1!$A$5:$A$22)</f>
        <v>44043</v>
      </c>
      <c r="K161" s="38" t="str">
        <f>IF(ISTEXT([161]Hoja1!$A$23),[161]Hoja1!$A$23,"")</f>
        <v>hay dos mas originales</v>
      </c>
    </row>
    <row r="162" spans="2:11" x14ac:dyDescent="0.45">
      <c r="B162" s="39" t="s">
        <v>201</v>
      </c>
      <c r="C162" s="35" t="str">
        <f>[162]Hoja1!$A$1</f>
        <v>201-39520I</v>
      </c>
      <c r="D162" s="36" t="str">
        <f>[162]Hoja1!$C$1</f>
        <v>reten valvula de escape   TS/TR</v>
      </c>
      <c r="E162" s="36">
        <f>[162]Hoja1!$I$1</f>
        <v>0</v>
      </c>
      <c r="F162" s="36">
        <f>[162]Hoja1!$I$2</f>
        <v>2</v>
      </c>
      <c r="G162" s="36">
        <f>[162]Hoja1!$E$22</f>
        <v>0</v>
      </c>
      <c r="H162" s="36">
        <f>[162]Hoja1!$H$22</f>
        <v>3</v>
      </c>
      <c r="I162" s="36">
        <f t="shared" si="2"/>
        <v>3</v>
      </c>
      <c r="J162" s="37">
        <f>MAX([162]Hoja1!$A$5:$A$22)</f>
        <v>44043</v>
      </c>
      <c r="K162" s="38" t="str">
        <f>IF(ISTEXT([162]Hoja1!$A$23),[162]Hoja1!$A$23,"")</f>
        <v>hay dos mas originales</v>
      </c>
    </row>
    <row r="163" spans="2:11" x14ac:dyDescent="0.45">
      <c r="B163" s="39" t="s">
        <v>202</v>
      </c>
      <c r="C163" s="35" t="str">
        <f>[163]Hoja1!$A$1</f>
        <v>201-39701I</v>
      </c>
      <c r="D163" s="36" t="str">
        <f>[163]Hoja1!$C$1</f>
        <v>junta puerta de bomba    TS/TR1</v>
      </c>
      <c r="E163" s="36">
        <f>[163]Hoja1!$I$1</f>
        <v>0</v>
      </c>
      <c r="F163" s="36">
        <f>[163]Hoja1!$I$2</f>
        <v>2</v>
      </c>
      <c r="G163" s="36">
        <f>[163]Hoja1!$E$22</f>
        <v>0</v>
      </c>
      <c r="H163" s="36">
        <f>[163]Hoja1!$H$22</f>
        <v>4</v>
      </c>
      <c r="I163" s="36">
        <f t="shared" si="2"/>
        <v>4</v>
      </c>
      <c r="J163" s="37">
        <f>MAX([163]Hoja1!$A$5:$A$22)</f>
        <v>44043</v>
      </c>
      <c r="K163" s="38" t="str">
        <f>IF(ISTEXT([163]Hoja1!$A$23),[163]Hoja1!$A$23,"")</f>
        <v>hay dos mas originales</v>
      </c>
    </row>
    <row r="164" spans="2:11" x14ac:dyDescent="0.45">
      <c r="B164" s="45" t="s">
        <v>203</v>
      </c>
      <c r="C164" s="35" t="str">
        <f>[164]Hoja1!$A$1</f>
        <v>201-39701I</v>
      </c>
      <c r="D164" s="36" t="str">
        <f>[164]Hoja1!$C$1</f>
        <v>junta puerta de bomba    TS/TR1</v>
      </c>
      <c r="E164" s="36">
        <f>[164]Hoja1!$I$1</f>
        <v>0</v>
      </c>
      <c r="F164" s="36">
        <f>[164]Hoja1!$I$2</f>
        <v>2</v>
      </c>
      <c r="G164" s="36">
        <f>[164]Hoja1!$E$22</f>
        <v>0</v>
      </c>
      <c r="H164" s="36">
        <f>[164]Hoja1!$H$22</f>
        <v>4</v>
      </c>
      <c r="I164" s="36">
        <f t="shared" si="2"/>
        <v>4</v>
      </c>
      <c r="J164" s="37">
        <f>MAX([164]Hoja1!$A$5:$A$22)</f>
        <v>44043</v>
      </c>
      <c r="K164" s="38" t="str">
        <f>IF(ISTEXT([164]Hoja1!$A$23),[164]Hoja1!$A$23,"")</f>
        <v/>
      </c>
    </row>
    <row r="165" spans="2:11" x14ac:dyDescent="0.45">
      <c r="B165" s="45" t="s">
        <v>204</v>
      </c>
      <c r="C165" s="35" t="str">
        <f>[165]Hoja1!$A$1</f>
        <v>201-41940I</v>
      </c>
      <c r="D165" s="36" t="str">
        <f>[165]Hoja1!$C$1</f>
        <v>reten bancada ppal    TS/TR</v>
      </c>
      <c r="E165" s="36">
        <f>[165]Hoja1!$I$1</f>
        <v>0</v>
      </c>
      <c r="F165" s="36">
        <f>[165]Hoja1!$I$2</f>
        <v>2</v>
      </c>
      <c r="G165" s="36">
        <f>[165]Hoja1!$E$22</f>
        <v>-2</v>
      </c>
      <c r="H165" s="36">
        <f>[165]Hoja1!$H$22</f>
        <v>1</v>
      </c>
      <c r="I165" s="36">
        <f t="shared" si="2"/>
        <v>-1</v>
      </c>
      <c r="J165" s="37">
        <f>MAX([165]Hoja1!$A$5:$A$22)</f>
        <v>44073</v>
      </c>
      <c r="K165" s="38" t="str">
        <f>IF(ISTEXT([165]Hoja1!$A$23),[165]Hoja1!$A$23,"")</f>
        <v/>
      </c>
    </row>
    <row r="166" spans="2:11" x14ac:dyDescent="0.45">
      <c r="B166" s="39" t="s">
        <v>205</v>
      </c>
      <c r="C166" s="35" t="str">
        <f>[166]Hoja1!$A$1</f>
        <v>201-41940I</v>
      </c>
      <c r="D166" s="36" t="str">
        <f>[166]Hoja1!$C$1</f>
        <v>reten bancada ppal    TS/TR</v>
      </c>
      <c r="E166" s="36">
        <f>[166]Hoja1!$I$1</f>
        <v>0</v>
      </c>
      <c r="F166" s="36">
        <f>[166]Hoja1!$I$2</f>
        <v>2</v>
      </c>
      <c r="G166" s="36">
        <f>[166]Hoja1!$E$22</f>
        <v>-1</v>
      </c>
      <c r="H166" s="36">
        <f>[166]Hoja1!$H$22</f>
        <v>1</v>
      </c>
      <c r="I166" s="36">
        <f t="shared" si="2"/>
        <v>0</v>
      </c>
      <c r="J166" s="37">
        <f>MAX([166]Hoja1!$A$5:$A$22)</f>
        <v>44056</v>
      </c>
      <c r="K166" s="38" t="str">
        <f>IF(ISTEXT([166]Hoja1!$A$23),[166]Hoja1!$A$23,"")</f>
        <v>hay dos mas originales</v>
      </c>
    </row>
    <row r="167" spans="2:11" x14ac:dyDescent="0.45">
      <c r="B167" s="45" t="s">
        <v>206</v>
      </c>
      <c r="C167" s="35" t="str">
        <f>[167]Hoja1!$A$1</f>
        <v>201-41950I</v>
      </c>
      <c r="D167" s="36" t="str">
        <f>[167]Hoja1!$C$1</f>
        <v>buje de biela ST/TS/TR</v>
      </c>
      <c r="E167" s="36">
        <f>[167]Hoja1!$I$1</f>
        <v>0</v>
      </c>
      <c r="F167" s="36">
        <f>[167]Hoja1!$I$2</f>
        <v>2</v>
      </c>
      <c r="G167" s="36">
        <f>[167]Hoja1!$E$22</f>
        <v>3</v>
      </c>
      <c r="H167" s="36">
        <f>[167]Hoja1!$H$22</f>
        <v>22</v>
      </c>
      <c r="I167" s="36">
        <f t="shared" si="2"/>
        <v>25</v>
      </c>
      <c r="J167" s="37">
        <f>MAX([167]Hoja1!$A$5:$A$22)</f>
        <v>44096</v>
      </c>
      <c r="K167" s="38" t="str">
        <f>IF(ISTEXT([167]Hoja1!$A$23),[167]Hoja1!$A$23,"")</f>
        <v/>
      </c>
    </row>
    <row r="168" spans="2:11" x14ac:dyDescent="0.45">
      <c r="B168" s="39" t="s">
        <v>207</v>
      </c>
      <c r="C168" s="35" t="str">
        <f>[168]Hoja1!$A$1</f>
        <v>201-41980I</v>
      </c>
      <c r="D168" s="36" t="str">
        <f>[168]Hoja1!$C$1</f>
        <v>resorte interior de veloc. Build 08    TS/TR</v>
      </c>
      <c r="E168" s="36">
        <f>[168]Hoja1!$I$1</f>
        <v>0</v>
      </c>
      <c r="F168" s="36">
        <f>[168]Hoja1!$I$2</f>
        <v>2</v>
      </c>
      <c r="G168" s="36">
        <f>[168]Hoja1!$E$22</f>
        <v>0</v>
      </c>
      <c r="H168" s="36">
        <f>[168]Hoja1!$H$22</f>
        <v>1</v>
      </c>
      <c r="I168" s="36">
        <f t="shared" si="2"/>
        <v>1</v>
      </c>
      <c r="J168" s="37">
        <f>MAX([168]Hoja1!$A$5:$A$22)</f>
        <v>44043</v>
      </c>
      <c r="K168" s="38" t="str">
        <f>IF(ISTEXT([168]Hoja1!$A$23),[168]Hoja1!$A$23,"")</f>
        <v/>
      </c>
    </row>
    <row r="169" spans="2:11" x14ac:dyDescent="0.45">
      <c r="B169" s="39" t="s">
        <v>208</v>
      </c>
      <c r="C169" s="35" t="str">
        <f>[169]Hoja1!$A$1</f>
        <v>201-42360I</v>
      </c>
      <c r="D169" s="36" t="str">
        <f>[169]Hoja1!$C$1</f>
        <v>reten superior tubo de var  TS/TR</v>
      </c>
      <c r="E169" s="36">
        <f>[169]Hoja1!$I$1</f>
        <v>0</v>
      </c>
      <c r="F169" s="36">
        <f>[169]Hoja1!$I$2</f>
        <v>2</v>
      </c>
      <c r="G169" s="36">
        <f>[169]Hoja1!$E$22</f>
        <v>18</v>
      </c>
      <c r="H169" s="36">
        <f>[169]Hoja1!$H$22</f>
        <v>13</v>
      </c>
      <c r="I169" s="36">
        <f t="shared" si="2"/>
        <v>31</v>
      </c>
      <c r="J169" s="37">
        <f>MAX([169]Hoja1!$A$5:$A$22)</f>
        <v>44116</v>
      </c>
      <c r="K169" s="38" t="str">
        <f>IF(ISTEXT([169]Hoja1!$A$23),[169]Hoja1!$A$23,"")</f>
        <v/>
      </c>
    </row>
    <row r="170" spans="2:11" x14ac:dyDescent="0.45">
      <c r="B170" s="39" t="s">
        <v>209</v>
      </c>
      <c r="C170" s="35" t="str">
        <f>[170]Hoja1!$A$1</f>
        <v>201-42530I</v>
      </c>
      <c r="D170" s="36" t="str">
        <f>[170]Hoja1!$C$1</f>
        <v>conjunto parada del regul  TS/TR</v>
      </c>
      <c r="E170" s="36">
        <f>[170]Hoja1!$I$1</f>
        <v>0</v>
      </c>
      <c r="F170" s="36">
        <f>[170]Hoja1!$I$2</f>
        <v>2</v>
      </c>
      <c r="G170" s="36">
        <f>[170]Hoja1!$E$22</f>
        <v>0</v>
      </c>
      <c r="H170" s="36">
        <f>[170]Hoja1!$H$22</f>
        <v>0</v>
      </c>
      <c r="I170" s="36">
        <f t="shared" si="2"/>
        <v>0</v>
      </c>
      <c r="J170" s="37">
        <f>MAX([170]Hoja1!$A$5:$A$22)</f>
        <v>44043</v>
      </c>
      <c r="K170" s="38" t="str">
        <f>IF(ISTEXT([170]Hoja1!$A$23),[170]Hoja1!$A$23,"")</f>
        <v/>
      </c>
    </row>
    <row r="171" spans="2:11" x14ac:dyDescent="0.45">
      <c r="B171" s="39" t="s">
        <v>210</v>
      </c>
      <c r="C171" s="35" t="str">
        <f>[171]Hoja1!$A$1</f>
        <v>201-42900I</v>
      </c>
      <c r="D171" s="36" t="str">
        <f>[171]Hoja1!$C$1</f>
        <v>manquito del regul  TS/TR</v>
      </c>
      <c r="E171" s="36">
        <f>[171]Hoja1!$I$1</f>
        <v>0</v>
      </c>
      <c r="F171" s="36">
        <f>[171]Hoja1!$I$2</f>
        <v>2</v>
      </c>
      <c r="G171" s="36">
        <f>[171]Hoja1!$E$22</f>
        <v>0</v>
      </c>
      <c r="H171" s="36">
        <f>[171]Hoja1!$H$22</f>
        <v>1</v>
      </c>
      <c r="I171" s="36">
        <f t="shared" si="2"/>
        <v>1</v>
      </c>
      <c r="J171" s="37">
        <f>MAX([171]Hoja1!$A$5:$A$22)</f>
        <v>44068</v>
      </c>
      <c r="K171" s="38" t="str">
        <f>IF(ISTEXT([171]Hoja1!$A$23),[171]Hoja1!$A$23,"")</f>
        <v/>
      </c>
    </row>
    <row r="172" spans="2:11" x14ac:dyDescent="0.45">
      <c r="B172" s="39" t="s">
        <v>211</v>
      </c>
      <c r="C172" s="35" t="str">
        <f>[172]Hoja1!$A$1</f>
        <v>201-44950A</v>
      </c>
      <c r="D172" s="36" t="str">
        <f>[172]Hoja1!$C$1</f>
        <v>buje de biela ST/TS/TR1</v>
      </c>
      <c r="E172" s="36">
        <f>[172]Hoja1!$I$1</f>
        <v>0</v>
      </c>
      <c r="F172" s="36">
        <f>[172]Hoja1!$I$2</f>
        <v>2</v>
      </c>
      <c r="G172" s="36">
        <f>[172]Hoja1!$E$22</f>
        <v>3</v>
      </c>
      <c r="H172" s="36">
        <f>[172]Hoja1!$H$22</f>
        <v>95</v>
      </c>
      <c r="I172" s="36">
        <f t="shared" si="2"/>
        <v>98</v>
      </c>
      <c r="J172" s="37">
        <f>MAX([172]Hoja1!$A$5:$A$22)</f>
        <v>44043</v>
      </c>
      <c r="K172" s="38" t="str">
        <f>IF(ISTEXT([172]Hoja1!$A$23),[172]Hoja1!$A$23,"")</f>
        <v/>
      </c>
    </row>
    <row r="173" spans="2:11" x14ac:dyDescent="0.45">
      <c r="B173" s="39" t="s">
        <v>212</v>
      </c>
      <c r="C173" s="35" t="str">
        <f>[173]Hoja1!$A$1</f>
        <v>201-45070I</v>
      </c>
      <c r="D173" s="36" t="str">
        <f>[173]Hoja1!$C$1</f>
        <v>arandela de inyector TS/TR1</v>
      </c>
      <c r="E173" s="36">
        <f>[173]Hoja1!$I$1</f>
        <v>0</v>
      </c>
      <c r="F173" s="36">
        <f>[173]Hoja1!$I$2</f>
        <v>2</v>
      </c>
      <c r="G173" s="36">
        <f>[173]Hoja1!$E$22</f>
        <v>3</v>
      </c>
      <c r="H173" s="36">
        <f>[173]Hoja1!$H$22</f>
        <v>8</v>
      </c>
      <c r="I173" s="36">
        <f t="shared" si="2"/>
        <v>11</v>
      </c>
      <c r="J173" s="37">
        <f>MAX([173]Hoja1!$A$5:$A$22)</f>
        <v>44043</v>
      </c>
      <c r="K173" s="38" t="str">
        <f>IF(ISTEXT([173]Hoja1!$A$23),[173]Hoja1!$A$23,"")</f>
        <v/>
      </c>
    </row>
    <row r="174" spans="2:11" x14ac:dyDescent="0.45">
      <c r="B174" s="45" t="s">
        <v>213</v>
      </c>
      <c r="C174" s="35" t="str">
        <f>[174]Hoja1!$A$1</f>
        <v>201-45961</v>
      </c>
      <c r="D174" s="36" t="str">
        <f>[174]Hoja1!$C$1</f>
        <v>suplemento bba inyect. TS/TR1</v>
      </c>
      <c r="E174" s="36">
        <f>[174]Hoja1!$I$1</f>
        <v>0</v>
      </c>
      <c r="F174" s="36">
        <f>[174]Hoja1!$I$2</f>
        <v>2</v>
      </c>
      <c r="G174" s="36">
        <f>[174]Hoja1!$E$22</f>
        <v>0</v>
      </c>
      <c r="H174" s="36">
        <f>[174]Hoja1!$H$22</f>
        <v>15</v>
      </c>
      <c r="I174" s="36">
        <f t="shared" si="2"/>
        <v>15</v>
      </c>
      <c r="J174" s="37">
        <f>MAX([174]Hoja1!$A$5:$A$22)</f>
        <v>44043</v>
      </c>
      <c r="K174" s="38" t="str">
        <f>IF(ISTEXT([174]Hoja1!$A$23),[174]Hoja1!$A$23,"")</f>
        <v/>
      </c>
    </row>
    <row r="175" spans="2:11" x14ac:dyDescent="0.45">
      <c r="B175" s="39" t="s">
        <v>214</v>
      </c>
      <c r="C175" s="35" t="str">
        <f>[175]Hoja1!$A$1</f>
        <v>201-45962I</v>
      </c>
      <c r="D175" s="36" t="str">
        <f>[175]Hoja1!$C$1</f>
        <v>suplemento bba inyect. TS/TR1</v>
      </c>
      <c r="E175" s="36">
        <f>[175]Hoja1!$I$1</f>
        <v>0</v>
      </c>
      <c r="F175" s="36">
        <f>[175]Hoja1!$I$2</f>
        <v>2</v>
      </c>
      <c r="G175" s="36">
        <f>[175]Hoja1!$E$22</f>
        <v>0</v>
      </c>
      <c r="H175" s="36">
        <f>[175]Hoja1!$H$22</f>
        <v>14</v>
      </c>
      <c r="I175" s="36">
        <f t="shared" si="2"/>
        <v>14</v>
      </c>
      <c r="J175" s="37">
        <f>MAX([175]Hoja1!$A$5:$A$22)</f>
        <v>44043</v>
      </c>
      <c r="K175" s="38" t="str">
        <f>IF(ISTEXT([175]Hoja1!$A$23),[175]Hoja1!$A$23,"")</f>
        <v/>
      </c>
    </row>
    <row r="176" spans="2:11" x14ac:dyDescent="0.45">
      <c r="B176" s="39" t="s">
        <v>215</v>
      </c>
      <c r="C176" s="35" t="str">
        <f>[176]Hoja1!$A$1</f>
        <v>201-45963I</v>
      </c>
      <c r="D176" s="36" t="str">
        <f>[176]Hoja1!$C$1</f>
        <v>suplemento bba inyect. TS/TR1</v>
      </c>
      <c r="E176" s="36">
        <f>[176]Hoja1!$I$1</f>
        <v>0</v>
      </c>
      <c r="F176" s="36">
        <f>[176]Hoja1!$I$2</f>
        <v>2</v>
      </c>
      <c r="G176" s="36">
        <f>[176]Hoja1!$E$22</f>
        <v>0</v>
      </c>
      <c r="H176" s="36">
        <f>[176]Hoja1!$H$22</f>
        <v>14</v>
      </c>
      <c r="I176" s="36">
        <f t="shared" si="2"/>
        <v>14</v>
      </c>
      <c r="J176" s="37">
        <f>MAX([176]Hoja1!$A$5:$A$22)</f>
        <v>44043</v>
      </c>
      <c r="K176" s="38" t="str">
        <f>IF(ISTEXT([176]Hoja1!$A$23),[176]Hoja1!$A$23,"")</f>
        <v/>
      </c>
    </row>
    <row r="177" spans="2:11" x14ac:dyDescent="0.45">
      <c r="B177" s="39" t="s">
        <v>216</v>
      </c>
      <c r="C177" s="35" t="str">
        <f>[177]Hoja1!$A$1</f>
        <v>201-45964I</v>
      </c>
      <c r="D177" s="36" t="str">
        <f>[177]Hoja1!$C$1</f>
        <v>suplemento bba inyect. TS/TR1</v>
      </c>
      <c r="E177" s="36">
        <f>[177]Hoja1!$I$1</f>
        <v>0</v>
      </c>
      <c r="F177" s="36">
        <f>[177]Hoja1!$I$2</f>
        <v>2</v>
      </c>
      <c r="G177" s="36">
        <f>[177]Hoja1!$E$22</f>
        <v>0</v>
      </c>
      <c r="H177" s="36">
        <f>[177]Hoja1!$H$22</f>
        <v>20</v>
      </c>
      <c r="I177" s="36">
        <f t="shared" si="2"/>
        <v>20</v>
      </c>
      <c r="J177" s="37">
        <f>MAX([177]Hoja1!$A$5:$A$22)</f>
        <v>44043</v>
      </c>
      <c r="K177" s="38" t="str">
        <f>IF(ISTEXT([177]Hoja1!$A$23),[177]Hoja1!$A$23,"")</f>
        <v/>
      </c>
    </row>
    <row r="178" spans="2:11" x14ac:dyDescent="0.45">
      <c r="B178" s="39" t="s">
        <v>217</v>
      </c>
      <c r="C178" s="35" t="str">
        <f>[178]Hoja1!$A$1</f>
        <v>201-46298I</v>
      </c>
      <c r="D178" s="36" t="str">
        <f>[178]Hoja1!$C$1</f>
        <v>bomba elevadora  TS/TR1</v>
      </c>
      <c r="E178" s="36">
        <f>[178]Hoja1!$I$1</f>
        <v>0</v>
      </c>
      <c r="F178" s="36">
        <f>[178]Hoja1!$I$2</f>
        <v>2</v>
      </c>
      <c r="G178" s="36">
        <f>[178]Hoja1!$E$22</f>
        <v>1</v>
      </c>
      <c r="H178" s="36">
        <f>[178]Hoja1!$H$22</f>
        <v>0</v>
      </c>
      <c r="I178" s="36">
        <f t="shared" si="2"/>
        <v>1</v>
      </c>
      <c r="J178" s="37">
        <f>MAX([178]Hoja1!$A$5:$A$22)</f>
        <v>44102</v>
      </c>
      <c r="K178" s="38" t="str">
        <f>IF(ISTEXT([178]Hoja1!$A$23),[178]Hoja1!$A$23,"")</f>
        <v/>
      </c>
    </row>
    <row r="179" spans="2:11" x14ac:dyDescent="0.45">
      <c r="B179" s="39" t="s">
        <v>218</v>
      </c>
      <c r="C179" s="35" t="str">
        <f>[179]Hoja1!$A$1</f>
        <v>201-47062I</v>
      </c>
      <c r="D179" s="36" t="str">
        <f>[179]Hoja1!$C$1</f>
        <v>tobera TR</v>
      </c>
      <c r="E179" s="36">
        <f>[179]Hoja1!$I$1</f>
        <v>0</v>
      </c>
      <c r="F179" s="36">
        <f>[179]Hoja1!$I$2</f>
        <v>2</v>
      </c>
      <c r="G179" s="36">
        <f>[179]Hoja1!$E$22</f>
        <v>5</v>
      </c>
      <c r="H179" s="36">
        <f>[179]Hoja1!$H$22</f>
        <v>3</v>
      </c>
      <c r="I179" s="36">
        <f t="shared" si="2"/>
        <v>8</v>
      </c>
      <c r="J179" s="37">
        <f>MAX([179]Hoja1!$A$5:$A$22)</f>
        <v>44116</v>
      </c>
      <c r="K179" s="38" t="str">
        <f>IF(ISTEXT([179]Hoja1!$A$23),[179]Hoja1!$A$23,"")</f>
        <v>a confirma mas origen B</v>
      </c>
    </row>
    <row r="180" spans="2:11" x14ac:dyDescent="0.45">
      <c r="B180" s="39" t="s">
        <v>219</v>
      </c>
      <c r="C180" s="35" t="str">
        <f>[180]Hoja1!$A$1</f>
        <v>201-47092I</v>
      </c>
      <c r="D180" s="36" t="str">
        <f>[180]Hoja1!$C$1</f>
        <v>tobera TS</v>
      </c>
      <c r="E180" s="36">
        <f>[180]Hoja1!$I$1</f>
        <v>0</v>
      </c>
      <c r="F180" s="36">
        <f>[180]Hoja1!$I$2</f>
        <v>2</v>
      </c>
      <c r="G180" s="36">
        <f>[180]Hoja1!$E$22</f>
        <v>0</v>
      </c>
      <c r="H180" s="36">
        <f>[180]Hoja1!$H$22</f>
        <v>2</v>
      </c>
      <c r="I180" s="36">
        <f t="shared" si="2"/>
        <v>2</v>
      </c>
      <c r="J180" s="37">
        <f>MAX([180]Hoja1!$A$5:$A$22)</f>
        <v>44116</v>
      </c>
      <c r="K180" s="38" t="str">
        <f>IF(ISTEXT([180]Hoja1!$A$23),[180]Hoja1!$A$23,"")</f>
        <v>mas 8   47092B</v>
      </c>
    </row>
    <row r="181" spans="2:11" x14ac:dyDescent="0.45">
      <c r="B181" s="39" t="s">
        <v>220</v>
      </c>
      <c r="C181" s="35" t="str">
        <f>[181]Hoja1!$A$1</f>
        <v>201-48530I</v>
      </c>
      <c r="D181" s="36" t="str">
        <f>[181]Hoja1!$C$1</f>
        <v>Inyector TR  ultima serie</v>
      </c>
      <c r="E181" s="36">
        <f>[181]Hoja1!$I$1</f>
        <v>0</v>
      </c>
      <c r="F181" s="36">
        <f>[181]Hoja1!$I$2</f>
        <v>2</v>
      </c>
      <c r="G181" s="36">
        <f>[181]Hoja1!$E$22</f>
        <v>2</v>
      </c>
      <c r="H181" s="36">
        <f>[181]Hoja1!$H$22</f>
        <v>0</v>
      </c>
      <c r="I181" s="36">
        <f t="shared" si="2"/>
        <v>2</v>
      </c>
      <c r="J181" s="37">
        <f>MAX([181]Hoja1!$A$5:$A$22)</f>
        <v>44135</v>
      </c>
      <c r="K181" s="38" t="str">
        <f>IF(ISTEXT([181]Hoja1!$A$23),[181]Hoja1!$A$23,"")</f>
        <v>confirmar cantidad</v>
      </c>
    </row>
    <row r="182" spans="2:11" x14ac:dyDescent="0.45">
      <c r="B182" s="39" t="s">
        <v>221</v>
      </c>
      <c r="C182" s="35" t="str">
        <f>[182]Hoja1!$A$1</f>
        <v>201-48540I</v>
      </c>
      <c r="D182" s="36" t="str">
        <f>[182]Hoja1!$C$1</f>
        <v>inyector  TR  ultima serie</v>
      </c>
      <c r="E182" s="36">
        <f>[182]Hoja1!$I$1</f>
        <v>0</v>
      </c>
      <c r="F182" s="36">
        <f>[182]Hoja1!$I$2</f>
        <v>2</v>
      </c>
      <c r="G182" s="36">
        <f>[182]Hoja1!$E$22</f>
        <v>4</v>
      </c>
      <c r="H182" s="36">
        <f>[182]Hoja1!$H$22</f>
        <v>3</v>
      </c>
      <c r="I182" s="36">
        <f t="shared" si="2"/>
        <v>7</v>
      </c>
      <c r="J182" s="37">
        <f>MAX([182]Hoja1!$A$5:$A$22)</f>
        <v>44103</v>
      </c>
      <c r="K182" s="38" t="str">
        <f>IF(ISTEXT([182]Hoja1!$A$23),[182]Hoja1!$A$23,"")</f>
        <v/>
      </c>
    </row>
    <row r="183" spans="2:11" x14ac:dyDescent="0.45">
      <c r="B183" s="45" t="s">
        <v>222</v>
      </c>
      <c r="C183" s="35">
        <f>[183]Hoja1!$A$1</f>
        <v>4325370</v>
      </c>
      <c r="D183" s="36" t="str">
        <f>[183]Hoja1!$C$1</f>
        <v>bomba inyectora ST</v>
      </c>
      <c r="E183" s="36">
        <f>[183]Hoja1!$I$1</f>
        <v>0</v>
      </c>
      <c r="F183" s="36">
        <f>[183]Hoja1!$I$2</f>
        <v>1</v>
      </c>
      <c r="G183" s="36">
        <f>[183]Hoja1!$E$22</f>
        <v>2</v>
      </c>
      <c r="H183" s="36">
        <f>[183]Hoja1!$H$22</f>
        <v>12</v>
      </c>
      <c r="I183" s="36">
        <f t="shared" si="2"/>
        <v>14</v>
      </c>
      <c r="J183" s="37">
        <f>MAX([183]Hoja1!$A$5:$A$22)</f>
        <v>44089</v>
      </c>
      <c r="K183" s="38" t="str">
        <f>IF(ISTEXT([183]Hoja1!$A$23),[183]Hoja1!$A$23,"")</f>
        <v/>
      </c>
    </row>
    <row r="184" spans="2:11" x14ac:dyDescent="0.45">
      <c r="B184" s="39" t="s">
        <v>223</v>
      </c>
      <c r="C184" s="35" t="str">
        <f>[184]Hoja1!$A$1</f>
        <v>201-55370A</v>
      </c>
      <c r="D184" s="36" t="str">
        <f>[184]Hoja1!$C$1</f>
        <v>filtro de aceite  ST/TS/TR</v>
      </c>
      <c r="E184" s="36">
        <f>[184]Hoja1!$I$1</f>
        <v>0</v>
      </c>
      <c r="F184" s="36">
        <f>[184]Hoja1!$I$2</f>
        <v>1</v>
      </c>
      <c r="G184" s="36">
        <f>[184]Hoja1!$E$22</f>
        <v>6</v>
      </c>
      <c r="H184" s="36">
        <f>[184]Hoja1!$H$22</f>
        <v>11</v>
      </c>
      <c r="I184" s="36">
        <f t="shared" si="2"/>
        <v>17</v>
      </c>
      <c r="J184" s="37">
        <f>MAX([184]Hoja1!$A$5:$A$22)</f>
        <v>44115</v>
      </c>
      <c r="K184" s="38" t="str">
        <f>IF(ISTEXT([184]Hoja1!$A$23),[184]Hoja1!$A$23,"")</f>
        <v/>
      </c>
    </row>
    <row r="185" spans="2:11" x14ac:dyDescent="0.45">
      <c r="B185" s="45" t="s">
        <v>224</v>
      </c>
      <c r="C185" s="35" t="str">
        <f>[185]Hoja1!$A$1</f>
        <v>201-55370 AB</v>
      </c>
      <c r="D185" s="36" t="str">
        <f>[185]Hoja1!$C$1</f>
        <v>filtro de aceite  ST/TS/TR</v>
      </c>
      <c r="E185" s="36">
        <f>[185]Hoja1!$I$1</f>
        <v>0</v>
      </c>
      <c r="F185" s="36">
        <f>[185]Hoja1!$I$2</f>
        <v>1</v>
      </c>
      <c r="G185" s="36">
        <f>[185]Hoja1!$E$22</f>
        <v>0</v>
      </c>
      <c r="H185" s="36">
        <f>[185]Hoja1!$H$22</f>
        <v>11</v>
      </c>
      <c r="I185" s="36">
        <f t="shared" si="2"/>
        <v>11</v>
      </c>
      <c r="J185" s="37">
        <f>MAX([185]Hoja1!$A$5:$A$22)</f>
        <v>44043</v>
      </c>
      <c r="K185" s="38" t="str">
        <f>IF(ISTEXT([185]Hoja1!$A$23),[185]Hoja1!$A$23,"")</f>
        <v>codigo Baldwin BT223</v>
      </c>
    </row>
    <row r="186" spans="2:11" x14ac:dyDescent="0.45">
      <c r="B186" s="45" t="s">
        <v>225</v>
      </c>
      <c r="C186" s="35" t="str">
        <f>[186]Hoja1!$A$1</f>
        <v>201-55370l</v>
      </c>
      <c r="D186" s="36" t="str">
        <f>[186]Hoja1!$C$1</f>
        <v>filtro de aceite  ST/TS/TR</v>
      </c>
      <c r="E186" s="36">
        <f>[186]Hoja1!$I$1</f>
        <v>0</v>
      </c>
      <c r="F186" s="36">
        <f>[186]Hoja1!$I$2</f>
        <v>1</v>
      </c>
      <c r="G186" s="36">
        <f>[186]Hoja1!$E$22</f>
        <v>1</v>
      </c>
      <c r="H186" s="36">
        <f>[186]Hoja1!$H$22</f>
        <v>19</v>
      </c>
      <c r="I186" s="36">
        <f t="shared" si="2"/>
        <v>20</v>
      </c>
      <c r="J186" s="37">
        <f>MAX([186]Hoja1!$A$5:$A$22)</f>
        <v>44135</v>
      </c>
      <c r="K186" s="38" t="str">
        <f>IF(ISTEXT([186]Hoja1!$A$23),[186]Hoja1!$A$23,"")</f>
        <v>ojo  ver venta a quimaite   fueron  A o I  ?   -   fc 3051 pedido 21670</v>
      </c>
    </row>
    <row r="187" spans="2:11" x14ac:dyDescent="0.45">
      <c r="B187" s="39" t="s">
        <v>226</v>
      </c>
      <c r="C187" s="35" t="str">
        <f>[187]Hoja1!$A$1</f>
        <v>201-80157A</v>
      </c>
      <c r="D187" s="36" t="str">
        <f>[187]Hoja1!$C$1</f>
        <v>piston desnudo ST/TS</v>
      </c>
      <c r="E187" s="36">
        <f>[187]Hoja1!$I$1</f>
        <v>0</v>
      </c>
      <c r="F187" s="36">
        <f>[187]Hoja1!$I$2</f>
        <v>1</v>
      </c>
      <c r="G187" s="36">
        <f>[187]Hoja1!$E$22</f>
        <v>0</v>
      </c>
      <c r="H187" s="36">
        <f>[187]Hoja1!$H$22</f>
        <v>2</v>
      </c>
      <c r="I187" s="36">
        <f t="shared" si="2"/>
        <v>2</v>
      </c>
      <c r="J187" s="37">
        <f>MAX([187]Hoja1!$A$5:$A$22)</f>
        <v>44043</v>
      </c>
      <c r="K187" s="38" t="str">
        <f>IF(ISTEXT([187]Hoja1!$A$23),[187]Hoja1!$A$23,"")</f>
        <v>sin aplicación - no hay pistones 010 en uso</v>
      </c>
    </row>
    <row r="188" spans="2:11" x14ac:dyDescent="0.45">
      <c r="B188" s="39" t="s">
        <v>227</v>
      </c>
      <c r="C188" s="35" t="str">
        <f>[188]Hoja1!$A$1</f>
        <v>201-80157A020</v>
      </c>
      <c r="D188" s="36" t="str">
        <f>[188]Hoja1!$C$1</f>
        <v>piston desnudo ST/TS</v>
      </c>
      <c r="E188" s="36">
        <f>[188]Hoja1!$I$1</f>
        <v>0</v>
      </c>
      <c r="F188" s="36">
        <f>[188]Hoja1!$I$2</f>
        <v>1</v>
      </c>
      <c r="G188" s="36">
        <f>[188]Hoja1!$E$22</f>
        <v>0</v>
      </c>
      <c r="H188" s="36">
        <f>[188]Hoja1!$H$22</f>
        <v>9</v>
      </c>
      <c r="I188" s="36">
        <f t="shared" si="2"/>
        <v>9</v>
      </c>
      <c r="J188" s="37">
        <f>MAX([188]Hoja1!$A$5:$A$22)</f>
        <v>44043</v>
      </c>
      <c r="K188" s="38" t="str">
        <f>IF(ISTEXT([188]Hoja1!$A$23),[188]Hoja1!$A$23,"")</f>
        <v/>
      </c>
    </row>
    <row r="189" spans="2:11" x14ac:dyDescent="0.45">
      <c r="B189" s="39" t="s">
        <v>228</v>
      </c>
      <c r="C189" s="35" t="str">
        <f>[189]Hoja1!$A$1</f>
        <v>201-80157A040</v>
      </c>
      <c r="D189" s="36" t="str">
        <f>[189]Hoja1!$C$1</f>
        <v>piston desnudo ST/TS</v>
      </c>
      <c r="E189" s="36">
        <f>[189]Hoja1!$I$1</f>
        <v>0</v>
      </c>
      <c r="F189" s="36">
        <f>[189]Hoja1!$I$2</f>
        <v>1</v>
      </c>
      <c r="G189" s="36">
        <f>[189]Hoja1!$E$22</f>
        <v>0</v>
      </c>
      <c r="H189" s="36">
        <f>[189]Hoja1!$H$22</f>
        <v>14</v>
      </c>
      <c r="I189" s="36">
        <f t="shared" si="2"/>
        <v>14</v>
      </c>
      <c r="J189" s="37">
        <f>MAX([189]Hoja1!$A$5:$A$22)</f>
        <v>44043</v>
      </c>
      <c r="K189" s="38" t="str">
        <f>IF(ISTEXT([189]Hoja1!$A$23),[189]Hoja1!$A$23,"")</f>
        <v/>
      </c>
    </row>
    <row r="190" spans="2:11" x14ac:dyDescent="0.45">
      <c r="B190" s="39" t="s">
        <v>229</v>
      </c>
      <c r="C190" s="35" t="str">
        <f>[190]Hoja1!$A$1</f>
        <v>201-80230I</v>
      </c>
      <c r="D190" s="36" t="str">
        <f>[190]Hoja1!$C$1</f>
        <v>platillo de valvula  TSTR</v>
      </c>
      <c r="E190" s="36">
        <f>[190]Hoja1!$I$1</f>
        <v>0</v>
      </c>
      <c r="F190" s="36">
        <f>[190]Hoja1!$I$2</f>
        <v>2</v>
      </c>
      <c r="G190" s="36">
        <f>[190]Hoja1!$E$22</f>
        <v>0</v>
      </c>
      <c r="H190" s="36">
        <f>[190]Hoja1!$H$22</f>
        <v>5</v>
      </c>
      <c r="I190" s="36">
        <f t="shared" si="2"/>
        <v>5</v>
      </c>
      <c r="J190" s="37">
        <f>MAX([190]Hoja1!$A$5:$A$22)</f>
        <v>44043</v>
      </c>
      <c r="K190" s="38" t="str">
        <f>IF(ISTEXT([190]Hoja1!$A$23),[190]Hoja1!$A$23,"")</f>
        <v>mas 8   47092B</v>
      </c>
    </row>
    <row r="191" spans="2:11" x14ac:dyDescent="0.45">
      <c r="B191" s="45" t="s">
        <v>230</v>
      </c>
      <c r="C191" s="35" t="str">
        <f>[191]Hoja1!$A$1</f>
        <v xml:space="preserve">201-80265 </v>
      </c>
      <c r="D191" s="36" t="str">
        <f>[191]Hoja1!$C$1</f>
        <v>inyector ST</v>
      </c>
      <c r="E191" s="36">
        <f>[191]Hoja1!$I$1</f>
        <v>0</v>
      </c>
      <c r="F191" s="36">
        <f>[191]Hoja1!$I$2</f>
        <v>2</v>
      </c>
      <c r="G191" s="36">
        <f>[191]Hoja1!$E$22</f>
        <v>0</v>
      </c>
      <c r="H191" s="36">
        <f>[191]Hoja1!$H$22</f>
        <v>5</v>
      </c>
      <c r="I191" s="36">
        <f t="shared" si="2"/>
        <v>5</v>
      </c>
      <c r="J191" s="37">
        <f>MAX([191]Hoja1!$A$5:$A$22)</f>
        <v>44089</v>
      </c>
      <c r="K191" s="38" t="str">
        <f>IF(ISTEXT([191]Hoja1!$A$23),[191]Hoja1!$A$23,"")</f>
        <v>mas 8   47092B</v>
      </c>
    </row>
    <row r="192" spans="2:11" x14ac:dyDescent="0.45">
      <c r="B192" s="45" t="s">
        <v>231</v>
      </c>
      <c r="C192" s="35" t="str">
        <f>[192]Hoja1!$A$1</f>
        <v>201-81393I</v>
      </c>
      <c r="D192" s="36" t="str">
        <f>[192]Hoja1!$C$1</f>
        <v>tobera st</v>
      </c>
      <c r="E192" s="36">
        <f>[192]Hoja1!$I$1</f>
        <v>0</v>
      </c>
      <c r="F192" s="36">
        <f>[192]Hoja1!$I$2</f>
        <v>2</v>
      </c>
      <c r="G192" s="36">
        <f>[192]Hoja1!$E$22</f>
        <v>0</v>
      </c>
      <c r="H192" s="36">
        <f>[192]Hoja1!$H$22</f>
        <v>3</v>
      </c>
      <c r="I192" s="36">
        <f t="shared" si="2"/>
        <v>3</v>
      </c>
      <c r="J192" s="37">
        <f>MAX([192]Hoja1!$A$5:$A$22)</f>
        <v>44116</v>
      </c>
      <c r="K192" s="38" t="str">
        <f>IF(ISTEXT([192]Hoja1!$A$23),[192]Hoja1!$A$23,"")</f>
        <v xml:space="preserve">confirmar cantidad.     Luis scassi ofrece stock que tiene ex Tandanor </v>
      </c>
    </row>
    <row r="193" spans="2:11" x14ac:dyDescent="0.45">
      <c r="B193" s="39" t="s">
        <v>232</v>
      </c>
      <c r="C193" s="35" t="str">
        <f>[193]Hoja1!$A$1</f>
        <v>201-81395I</v>
      </c>
      <c r="D193" s="36" t="str">
        <f>[193]Hoja1!$C$1</f>
        <v>tobera TS  1RA SERIE</v>
      </c>
      <c r="E193" s="36">
        <f>[193]Hoja1!$I$1</f>
        <v>0</v>
      </c>
      <c r="F193" s="36">
        <f>[193]Hoja1!$I$2</f>
        <v>2</v>
      </c>
      <c r="G193" s="36">
        <f>[193]Hoja1!$E$22</f>
        <v>0</v>
      </c>
      <c r="H193" s="36">
        <f>[193]Hoja1!$H$22</f>
        <v>3</v>
      </c>
      <c r="I193" s="36">
        <f t="shared" si="2"/>
        <v>3</v>
      </c>
      <c r="J193" s="37">
        <f>MAX([193]Hoja1!$A$5:$A$22)</f>
        <v>44116</v>
      </c>
      <c r="K193" s="38" t="str">
        <f>IF(ISTEXT([193]Hoja1!$A$23),[193]Hoja1!$A$23,"")</f>
        <v>mas 2  81395B</v>
      </c>
    </row>
    <row r="194" spans="2:11" x14ac:dyDescent="0.45">
      <c r="B194" s="45" t="s">
        <v>233</v>
      </c>
      <c r="C194" s="35" t="str">
        <f>[194]Hoja1!$A$1</f>
        <v xml:space="preserve">202-33540I </v>
      </c>
      <c r="D194" s="36" t="str">
        <f>[194]Hoja1!$C$1</f>
        <v xml:space="preserve">turbina </v>
      </c>
      <c r="E194" s="36">
        <f>[194]Hoja1!$I$1</f>
        <v>0</v>
      </c>
      <c r="F194" s="36">
        <f>[194]Hoja1!$I$2</f>
        <v>2</v>
      </c>
      <c r="G194" s="36">
        <f>[194]Hoja1!$E$22</f>
        <v>0</v>
      </c>
      <c r="H194" s="36">
        <f>[194]Hoja1!$H$22</f>
        <v>1</v>
      </c>
      <c r="I194" s="36">
        <f t="shared" si="2"/>
        <v>1</v>
      </c>
      <c r="J194" s="37">
        <f>MAX([194]Hoja1!$A$5:$A$22)</f>
        <v>44043</v>
      </c>
      <c r="K194" s="38" t="str">
        <f>IF(ISTEXT([194]Hoja1!$A$23),[194]Hoja1!$A$23,"")</f>
        <v>hay dos mas originales</v>
      </c>
    </row>
    <row r="195" spans="2:11" x14ac:dyDescent="0.45">
      <c r="B195" s="39" t="s">
        <v>234</v>
      </c>
      <c r="C195" s="35" t="str">
        <f>[195]Hoja1!$A$1</f>
        <v>202-41270I</v>
      </c>
      <c r="D195" s="36" t="str">
        <f>[195]Hoja1!$C$1</f>
        <v>tapa extremo caño de reboce</v>
      </c>
      <c r="E195" s="36">
        <f>[195]Hoja1!$I$1</f>
        <v>0</v>
      </c>
      <c r="F195" s="36">
        <f>[195]Hoja1!$I$2</f>
        <v>2</v>
      </c>
      <c r="G195" s="36">
        <f>[195]Hoja1!$E$22</f>
        <v>-2</v>
      </c>
      <c r="H195" s="36">
        <f>[195]Hoja1!$H$22</f>
        <v>2</v>
      </c>
      <c r="I195" s="36">
        <f t="shared" ref="I195:I258" si="3">SUM(G195:H195)</f>
        <v>0</v>
      </c>
      <c r="J195" s="37">
        <f>MAX([195]Hoja1!$A$5:$A$22)</f>
        <v>44109</v>
      </c>
      <c r="K195" s="38" t="str">
        <f>IF(ISTEXT([195]Hoja1!$A$23),[195]Hoja1!$A$23,"")</f>
        <v>mas 2  81395B</v>
      </c>
    </row>
    <row r="196" spans="2:11" x14ac:dyDescent="0.45">
      <c r="B196" s="45" t="s">
        <v>235</v>
      </c>
      <c r="C196" s="35" t="str">
        <f>[196]Hoja1!$A$1</f>
        <v>2042480I</v>
      </c>
      <c r="D196" s="36" t="str">
        <f>[196]Hoja1!$C$1</f>
        <v>caño reboce  TS/TR1</v>
      </c>
      <c r="E196" s="36">
        <f>[196]Hoja1!$I$1</f>
        <v>0</v>
      </c>
      <c r="F196" s="36">
        <f>[196]Hoja1!$I$2</f>
        <v>2</v>
      </c>
      <c r="G196" s="36">
        <f>[196]Hoja1!$E$22</f>
        <v>5</v>
      </c>
      <c r="H196" s="36">
        <f>[196]Hoja1!$H$22</f>
        <v>0</v>
      </c>
      <c r="I196" s="36">
        <f t="shared" si="3"/>
        <v>5</v>
      </c>
      <c r="J196" s="37">
        <f>MAX([196]Hoja1!$A$5:$A$22)</f>
        <v>44109</v>
      </c>
      <c r="K196" s="38" t="str">
        <f>IF(ISTEXT([196]Hoja1!$A$23),[196]Hoja1!$A$23,"")</f>
        <v>hay dos mas originales</v>
      </c>
    </row>
    <row r="197" spans="2:11" x14ac:dyDescent="0.45">
      <c r="B197" s="39" t="s">
        <v>236</v>
      </c>
      <c r="C197" s="35" t="str">
        <f>[197]Hoja1!$A$1</f>
        <v>203-11421</v>
      </c>
      <c r="D197" s="36" t="str">
        <f>[197]Hoja1!$C$1</f>
        <v>filtro de aire por baño de aceite LL</v>
      </c>
      <c r="E197" s="36">
        <f>[197]Hoja1!$I$1</f>
        <v>0</v>
      </c>
      <c r="F197" s="36">
        <f>[197]Hoja1!$I$2</f>
        <v>2</v>
      </c>
      <c r="G197" s="36">
        <f>[197]Hoja1!$E$22</f>
        <v>2</v>
      </c>
      <c r="H197" s="36">
        <f>[197]Hoja1!$H$22</f>
        <v>0</v>
      </c>
      <c r="I197" s="36">
        <f t="shared" si="3"/>
        <v>2</v>
      </c>
      <c r="J197" s="37">
        <f>MAX([197]Hoja1!$A$5:$A$22)</f>
        <v>44098</v>
      </c>
      <c r="K197" s="38" t="str">
        <f>IF(ISTEXT([197]Hoja1!$A$23),[197]Hoja1!$A$23,"")</f>
        <v/>
      </c>
    </row>
    <row r="198" spans="2:11" x14ac:dyDescent="0.45">
      <c r="B198" s="45" t="s">
        <v>237</v>
      </c>
      <c r="C198" s="35" t="str">
        <f>[198]Hoja1!$A$1</f>
        <v>751-10620A</v>
      </c>
      <c r="D198" s="36" t="str">
        <f>[198]Hoja1!$C$1</f>
        <v>filtro de aceite  LPW</v>
      </c>
      <c r="E198" s="36">
        <f>[198]Hoja1!$I$1</f>
        <v>0</v>
      </c>
      <c r="F198" s="36">
        <f>[198]Hoja1!$I$2</f>
        <v>1</v>
      </c>
      <c r="G198" s="36">
        <f>[198]Hoja1!$E$22</f>
        <v>4</v>
      </c>
      <c r="H198" s="36">
        <f>[198]Hoja1!$H$22</f>
        <v>12</v>
      </c>
      <c r="I198" s="36">
        <f t="shared" si="3"/>
        <v>16</v>
      </c>
      <c r="J198" s="37">
        <f>MAX([198]Hoja1!$A$5:$A$22)</f>
        <v>44098</v>
      </c>
      <c r="K198" s="38" t="str">
        <f>IF(ISTEXT([198]Hoja1!$A$23),[198]Hoja1!$A$23,"")</f>
        <v/>
      </c>
    </row>
    <row r="199" spans="2:11" x14ac:dyDescent="0.45">
      <c r="B199" s="39" t="s">
        <v>238</v>
      </c>
      <c r="C199" s="35" t="str">
        <f>[199]Hoja1!$A$1</f>
        <v>328-21600I</v>
      </c>
      <c r="D199" s="36" t="str">
        <f>[199]Hoja1!$C$1</f>
        <v>filtro de aceite  LPW</v>
      </c>
      <c r="E199" s="36">
        <f>[199]Hoja1!$I$1</f>
        <v>0</v>
      </c>
      <c r="F199" s="36">
        <f>[199]Hoja1!$I$2</f>
        <v>1</v>
      </c>
      <c r="G199" s="36">
        <f>[199]Hoja1!$E$22</f>
        <v>14</v>
      </c>
      <c r="H199" s="36">
        <f>[199]Hoja1!$H$22</f>
        <v>9</v>
      </c>
      <c r="I199" s="36">
        <f t="shared" si="3"/>
        <v>23</v>
      </c>
      <c r="J199" s="37">
        <f>MAX([199]Hoja1!$A$5:$A$22)</f>
        <v>44135</v>
      </c>
      <c r="K199" s="38" t="str">
        <f>IF(ISTEXT([199]Hoja1!$A$23),[199]Hoja1!$A$23,"")</f>
        <v/>
      </c>
    </row>
    <row r="200" spans="2:11" x14ac:dyDescent="0.45">
      <c r="B200" s="45" t="s">
        <v>239</v>
      </c>
      <c r="C200" s="35" t="str">
        <f>[200]Hoja1!$A$1</f>
        <v>3462-027</v>
      </c>
      <c r="D200" s="36" t="str">
        <f>[200]Hoja1!$C$1</f>
        <v>carbon 35x20x10</v>
      </c>
      <c r="E200" s="36">
        <f>[200]Hoja1!$I$1</f>
        <v>0</v>
      </c>
      <c r="F200" s="36">
        <f>[200]Hoja1!$I$2</f>
        <v>1</v>
      </c>
      <c r="G200" s="36">
        <f>[200]Hoja1!$E$22</f>
        <v>4</v>
      </c>
      <c r="H200" s="36">
        <f>[200]Hoja1!$H$22</f>
        <v>4</v>
      </c>
      <c r="I200" s="36">
        <f t="shared" si="3"/>
        <v>8</v>
      </c>
      <c r="J200" s="37">
        <f>MAX([200]Hoja1!$A$5:$A$22)</f>
        <v>44043</v>
      </c>
      <c r="K200" s="38" t="str">
        <f>IF(ISTEXT([200]Hoja1!$A$23),[200]Hoja1!$A$23,"")</f>
        <v>revisar cant</v>
      </c>
    </row>
    <row r="201" spans="2:11" x14ac:dyDescent="0.45">
      <c r="B201" s="45" t="s">
        <v>240</v>
      </c>
      <c r="C201" s="35" t="str">
        <f>[201]Hoja1!$A$1</f>
        <v>3462-029</v>
      </c>
      <c r="D201" s="36" t="str">
        <f>[201]Hoja1!$C$1</f>
        <v>carbon 35x25x10</v>
      </c>
      <c r="E201" s="36">
        <f>[201]Hoja1!$I$1</f>
        <v>0</v>
      </c>
      <c r="F201" s="36">
        <f>[201]Hoja1!$I$2</f>
        <v>1</v>
      </c>
      <c r="G201" s="36">
        <f>[201]Hoja1!$E$22</f>
        <v>-2</v>
      </c>
      <c r="H201" s="36">
        <f>[201]Hoja1!$H$22</f>
        <v>8</v>
      </c>
      <c r="I201" s="36">
        <f t="shared" si="3"/>
        <v>6</v>
      </c>
      <c r="J201" s="37">
        <f>MAX([201]Hoja1!$A$5:$A$22)</f>
        <v>44063</v>
      </c>
      <c r="K201" s="38" t="str">
        <f>IF(ISTEXT([201]Hoja1!$A$23),[201]Hoja1!$A$23,"")</f>
        <v>revisar cant</v>
      </c>
    </row>
    <row r="202" spans="2:11" x14ac:dyDescent="0.45">
      <c r="B202" s="45" t="s">
        <v>241</v>
      </c>
      <c r="C202" s="35" t="str">
        <f>[202]Hoja1!$A$1</f>
        <v>3462-031</v>
      </c>
      <c r="D202" s="36" t="str">
        <f>[202]Hoja1!$C$1</f>
        <v>carbon 35x40x10</v>
      </c>
      <c r="E202" s="36">
        <f>[202]Hoja1!$I$1</f>
        <v>0</v>
      </c>
      <c r="F202" s="36">
        <f>[202]Hoja1!$I$2</f>
        <v>1</v>
      </c>
      <c r="G202" s="36">
        <f>[202]Hoja1!$E$22</f>
        <v>0</v>
      </c>
      <c r="H202" s="36">
        <f>[202]Hoja1!$H$22</f>
        <v>16</v>
      </c>
      <c r="I202" s="36">
        <f t="shared" si="3"/>
        <v>16</v>
      </c>
      <c r="J202" s="37">
        <f>MAX([202]Hoja1!$A$5:$A$22)</f>
        <v>44063</v>
      </c>
      <c r="K202" s="38" t="str">
        <f>IF(ISTEXT([202]Hoja1!$A$23),[202]Hoja1!$A$23,"")</f>
        <v>revisar cant</v>
      </c>
    </row>
    <row r="203" spans="2:11" x14ac:dyDescent="0.45">
      <c r="B203" s="45" t="s">
        <v>242</v>
      </c>
      <c r="C203" s="35" t="str">
        <f>[203]Hoja1!$A$1</f>
        <v>3463-148/32</v>
      </c>
      <c r="D203" s="36" t="str">
        <f>[203]Hoja1!$C$1</f>
        <v>disyuntor 32v</v>
      </c>
      <c r="E203" s="36">
        <f>[203]Hoja1!$I$1</f>
        <v>0</v>
      </c>
      <c r="F203" s="36">
        <f>[203]Hoja1!$I$2</f>
        <v>1</v>
      </c>
      <c r="G203" s="36">
        <f>[203]Hoja1!$E$22</f>
        <v>0</v>
      </c>
      <c r="H203" s="36">
        <f>[203]Hoja1!$H$22</f>
        <v>1</v>
      </c>
      <c r="I203" s="36">
        <f t="shared" si="3"/>
        <v>1</v>
      </c>
      <c r="J203" s="37">
        <f>MAX([203]Hoja1!$A$5:$A$22)</f>
        <v>44057</v>
      </c>
      <c r="K203" s="38" t="str">
        <f>IF(ISTEXT([203]Hoja1!$A$23),[203]Hoja1!$A$23,"")</f>
        <v>revisar cant</v>
      </c>
    </row>
    <row r="204" spans="2:11" x14ac:dyDescent="0.45">
      <c r="B204" s="45" t="s">
        <v>243</v>
      </c>
      <c r="C204" s="35" t="str">
        <f>[204]Hoja1!$A$1</f>
        <v>3463-158</v>
      </c>
      <c r="D204" s="36" t="str">
        <f>[204]Hoja1!$C$1</f>
        <v>resistencia 32v reg carga bateria</v>
      </c>
      <c r="E204" s="36">
        <f>[204]Hoja1!$I$1</f>
        <v>0</v>
      </c>
      <c r="F204" s="36">
        <f>[204]Hoja1!$I$2</f>
        <v>1</v>
      </c>
      <c r="G204" s="36">
        <f>[204]Hoja1!$E$22</f>
        <v>2</v>
      </c>
      <c r="H204" s="36">
        <f>[204]Hoja1!$H$22</f>
        <v>0</v>
      </c>
      <c r="I204" s="36">
        <f t="shared" si="3"/>
        <v>2</v>
      </c>
      <c r="J204" s="37">
        <f>MAX([204]Hoja1!$A$5:$A$22)</f>
        <v>44043</v>
      </c>
      <c r="K204" s="38" t="str">
        <f>IF(ISTEXT([204]Hoja1!$A$23),[204]Hoja1!$A$23,"")</f>
        <v>revisar cant</v>
      </c>
    </row>
    <row r="205" spans="2:11" x14ac:dyDescent="0.45">
      <c r="B205" s="45" t="s">
        <v>244</v>
      </c>
      <c r="C205" s="35" t="str">
        <f>[205]Hoja1!$A$1</f>
        <v>3463-158</v>
      </c>
      <c r="D205" s="36" t="str">
        <f>[205]Hoja1!$C$1</f>
        <v>resistencia 220v reg cte.alt.</v>
      </c>
      <c r="E205" s="36">
        <f>[205]Hoja1!$I$1</f>
        <v>0</v>
      </c>
      <c r="F205" s="36">
        <f>[205]Hoja1!$I$2</f>
        <v>1</v>
      </c>
      <c r="G205" s="36">
        <f>[205]Hoja1!$E$22</f>
        <v>2</v>
      </c>
      <c r="H205" s="36">
        <f>[205]Hoja1!$H$22</f>
        <v>10</v>
      </c>
      <c r="I205" s="36">
        <f t="shared" si="3"/>
        <v>12</v>
      </c>
      <c r="J205" s="37">
        <f>MAX([205]Hoja1!$A$5:$A$22)</f>
        <v>44043</v>
      </c>
      <c r="K205" s="38" t="str">
        <f>IF(ISTEXT([205]Hoja1!$A$23),[205]Hoja1!$A$23,"")</f>
        <v>revisar cant</v>
      </c>
    </row>
    <row r="206" spans="2:11" x14ac:dyDescent="0.45">
      <c r="B206" s="39" t="s">
        <v>245</v>
      </c>
      <c r="C206" s="35" t="str">
        <f>[206]Hoja1!$A$1</f>
        <v>351-29760A</v>
      </c>
      <c r="D206" s="36" t="str">
        <f>[206]Hoja1!$C$1</f>
        <v>filtro de gas oil  ST2/3</v>
      </c>
      <c r="E206" s="36">
        <f>[206]Hoja1!$I$1</f>
        <v>0</v>
      </c>
      <c r="F206" s="36">
        <f>[206]Hoja1!$I$2</f>
        <v>1</v>
      </c>
      <c r="G206" s="36">
        <f>[206]Hoja1!$E$22</f>
        <v>12</v>
      </c>
      <c r="H206" s="36">
        <f>[206]Hoja1!$H$22</f>
        <v>25</v>
      </c>
      <c r="I206" s="36">
        <f t="shared" si="3"/>
        <v>37</v>
      </c>
      <c r="J206" s="37">
        <f>MAX([206]Hoja1!$A$5:$A$22)</f>
        <v>44069</v>
      </c>
      <c r="K206" s="38" t="str">
        <f>IF(ISTEXT([206]Hoja1!$A$23),[206]Hoja1!$A$23,"")</f>
        <v>revisar cant</v>
      </c>
    </row>
    <row r="207" spans="2:11" x14ac:dyDescent="0.45">
      <c r="B207" s="39" t="s">
        <v>246</v>
      </c>
      <c r="C207" s="35" t="str">
        <f>[207]Hoja1!$A$1</f>
        <v>366-06227I</v>
      </c>
      <c r="D207" s="36" t="str">
        <f>[207]Hoja1!$C$1</f>
        <v>elemento filro de aire  ST  LPW</v>
      </c>
      <c r="E207" s="36">
        <f>[207]Hoja1!$I$1</f>
        <v>0</v>
      </c>
      <c r="F207" s="36">
        <f>[207]Hoja1!$I$2</f>
        <v>1</v>
      </c>
      <c r="G207" s="36">
        <f>[207]Hoja1!$E$22</f>
        <v>0</v>
      </c>
      <c r="H207" s="36">
        <f>[207]Hoja1!$H$22</f>
        <v>3</v>
      </c>
      <c r="I207" s="36">
        <f t="shared" si="3"/>
        <v>3</v>
      </c>
      <c r="J207" s="37">
        <f>MAX([207]Hoja1!$A$5:$A$22)</f>
        <v>44043</v>
      </c>
      <c r="K207" s="38" t="str">
        <f>IF(ISTEXT([207]Hoja1!$A$23),[207]Hoja1!$A$23,"")</f>
        <v>revisar codigo  - no aparece en manuales</v>
      </c>
    </row>
    <row r="208" spans="2:11" x14ac:dyDescent="0.45">
      <c r="B208" s="45" t="s">
        <v>247</v>
      </c>
      <c r="C208" s="35" t="str">
        <f>[208]Hoja1!$A$1</f>
        <v>366-07188A</v>
      </c>
      <c r="D208" s="36" t="str">
        <f>[208]Hoja1!$C$1</f>
        <v>elemento filtro de aire TS/TR</v>
      </c>
      <c r="E208" s="36">
        <f>[208]Hoja1!$I$1</f>
        <v>0</v>
      </c>
      <c r="F208" s="36">
        <f>[208]Hoja1!$I$2</f>
        <v>1</v>
      </c>
      <c r="G208" s="36">
        <f>[208]Hoja1!$E$22</f>
        <v>27</v>
      </c>
      <c r="H208" s="36">
        <f>[208]Hoja1!$H$22</f>
        <v>24</v>
      </c>
      <c r="I208" s="36">
        <f t="shared" si="3"/>
        <v>51</v>
      </c>
      <c r="J208" s="37">
        <f>MAX([208]Hoja1!$A$5:$A$22)</f>
        <v>44115</v>
      </c>
      <c r="K208" s="38" t="str">
        <f>IF(ISTEXT([208]Hoja1!$A$23),[208]Hoja1!$A$23,"")</f>
        <v>revisar cant</v>
      </c>
    </row>
    <row r="209" spans="2:11" x14ac:dyDescent="0.45">
      <c r="B209" s="39" t="s">
        <v>248</v>
      </c>
      <c r="C209" s="35" t="str">
        <f>[209]Hoja1!$A$1</f>
        <v>366-07188I</v>
      </c>
      <c r="D209" s="36" t="str">
        <f>[209]Hoja1!$C$1</f>
        <v>elemento filtro de aire TS/TR</v>
      </c>
      <c r="E209" s="36">
        <f>[209]Hoja1!$I$1</f>
        <v>0</v>
      </c>
      <c r="F209" s="36">
        <f>[209]Hoja1!$I$2</f>
        <v>1</v>
      </c>
      <c r="G209" s="36">
        <f>[209]Hoja1!$E$22</f>
        <v>0</v>
      </c>
      <c r="H209" s="36">
        <f>[209]Hoja1!$H$22</f>
        <v>5</v>
      </c>
      <c r="I209" s="36">
        <f t="shared" si="3"/>
        <v>5</v>
      </c>
      <c r="J209" s="37">
        <f>MAX([209]Hoja1!$A$5:$A$22)</f>
        <v>44043</v>
      </c>
      <c r="K209" s="38" t="str">
        <f>IF(ISTEXT([209]Hoja1!$A$23),[209]Hoja1!$A$23,"")</f>
        <v>revisar cant</v>
      </c>
    </row>
    <row r="210" spans="2:11" x14ac:dyDescent="0.45">
      <c r="B210" s="39" t="s">
        <v>249</v>
      </c>
      <c r="C210" s="35" t="str">
        <f>[210]Hoja1!$A$1</f>
        <v>366-07197I</v>
      </c>
      <c r="D210" s="36" t="str">
        <f>[210]Hoja1!$C$1</f>
        <v>solenoide TS  TR LPW</v>
      </c>
      <c r="E210" s="36">
        <f>[210]Hoja1!$I$1</f>
        <v>0</v>
      </c>
      <c r="F210" s="36">
        <f>[210]Hoja1!$I$2</f>
        <v>1</v>
      </c>
      <c r="G210" s="36">
        <f>[210]Hoja1!$E$22</f>
        <v>13</v>
      </c>
      <c r="H210" s="36">
        <f>[210]Hoja1!$H$22</f>
        <v>6</v>
      </c>
      <c r="I210" s="36">
        <f t="shared" si="3"/>
        <v>19</v>
      </c>
      <c r="J210" s="37">
        <f>MAX([210]Hoja1!$A$5:$A$22)</f>
        <v>44109</v>
      </c>
      <c r="K210" s="38" t="str">
        <f>IF(ISTEXT([210]Hoja1!$A$23),[210]Hoja1!$A$23,"")</f>
        <v>revisar codigo  - no aparece en manuales</v>
      </c>
    </row>
    <row r="211" spans="2:11" x14ac:dyDescent="0.45">
      <c r="B211" s="39" t="s">
        <v>250</v>
      </c>
      <c r="C211" s="35" t="str">
        <f>[211]Hoja1!$A$1</f>
        <v>366-07723</v>
      </c>
      <c r="D211" s="36" t="str">
        <f>[211]Hoja1!$C$1</f>
        <v>elemento filtro de aire TS/TR (alto)</v>
      </c>
      <c r="E211" s="36">
        <f>[211]Hoja1!$I$1</f>
        <v>0</v>
      </c>
      <c r="F211" s="36">
        <f>[211]Hoja1!$I$2</f>
        <v>1</v>
      </c>
      <c r="G211" s="36">
        <f>[211]Hoja1!$E$22</f>
        <v>0</v>
      </c>
      <c r="H211" s="36">
        <f>[211]Hoja1!$H$22</f>
        <v>5</v>
      </c>
      <c r="I211" s="36">
        <f t="shared" si="3"/>
        <v>5</v>
      </c>
      <c r="J211" s="37">
        <f>MAX([211]Hoja1!$A$5:$A$22)</f>
        <v>44043</v>
      </c>
      <c r="K211" s="38" t="str">
        <f>IF(ISTEXT([211]Hoja1!$A$23),[211]Hoja1!$A$23,"")</f>
        <v>mas 1 imp muestra</v>
      </c>
    </row>
    <row r="212" spans="2:11" x14ac:dyDescent="0.45">
      <c r="B212" s="39" t="s">
        <v>251</v>
      </c>
      <c r="C212" s="35" t="str">
        <f>[212]Hoja1!$A$1</f>
        <v>382-08564I</v>
      </c>
      <c r="D212" s="36" t="str">
        <f>[212]Hoja1!$C$1</f>
        <v>switch de temperatura TS TR</v>
      </c>
      <c r="E212" s="36">
        <f>[212]Hoja1!$I$1</f>
        <v>0</v>
      </c>
      <c r="F212" s="36">
        <f>[212]Hoja1!$I$2</f>
        <v>1</v>
      </c>
      <c r="G212" s="36">
        <f>[212]Hoja1!$E$22</f>
        <v>0</v>
      </c>
      <c r="H212" s="36">
        <f>[212]Hoja1!$H$22</f>
        <v>1</v>
      </c>
      <c r="I212" s="36">
        <f t="shared" si="3"/>
        <v>1</v>
      </c>
      <c r="J212" s="37">
        <f>MAX([212]Hoja1!$A$5:$A$22)</f>
        <v>44043</v>
      </c>
      <c r="K212" s="38" t="str">
        <f>IF(ISTEXT([212]Hoja1!$A$23),[212]Hoja1!$A$23,"")</f>
        <v/>
      </c>
    </row>
    <row r="213" spans="2:11" x14ac:dyDescent="0.45">
      <c r="B213" s="39" t="s">
        <v>252</v>
      </c>
      <c r="C213" s="35" t="str">
        <f>[213]Hoja1!$A$1</f>
        <v>382-08919I</v>
      </c>
      <c r="D213" s="36" t="str">
        <f>[213]Hoja1!$C$1</f>
        <v>altenador c.c.  LPW</v>
      </c>
      <c r="E213" s="36">
        <f>[213]Hoja1!$I$1</f>
        <v>0</v>
      </c>
      <c r="F213" s="36">
        <f>[213]Hoja1!$I$2</f>
        <v>1</v>
      </c>
      <c r="G213" s="36">
        <f>[213]Hoja1!$E$22</f>
        <v>0</v>
      </c>
      <c r="H213" s="36">
        <f>[213]Hoja1!$H$22</f>
        <v>1</v>
      </c>
      <c r="I213" s="36">
        <f t="shared" si="3"/>
        <v>1</v>
      </c>
      <c r="J213" s="37">
        <f>MAX([213]Hoja1!$A$5:$A$22)</f>
        <v>44043</v>
      </c>
      <c r="K213" s="38" t="str">
        <f>IF(ISTEXT([213]Hoja1!$A$23),[213]Hoja1!$A$23,"")</f>
        <v/>
      </c>
    </row>
    <row r="214" spans="2:11" x14ac:dyDescent="0.45">
      <c r="B214" s="39" t="s">
        <v>253</v>
      </c>
      <c r="C214" s="35" t="str">
        <f>[214]Hoja1!$A$1</f>
        <v>570-12840I</v>
      </c>
      <c r="D214" s="36" t="str">
        <f>[214]Hoja1!$C$1</f>
        <v>conjunto piston ST/TS</v>
      </c>
      <c r="E214" s="36">
        <f>[214]Hoja1!$I$1</f>
        <v>0</v>
      </c>
      <c r="F214" s="36">
        <f>[214]Hoja1!$I$2</f>
        <v>1</v>
      </c>
      <c r="G214" s="36">
        <f>[214]Hoja1!$E$22</f>
        <v>3</v>
      </c>
      <c r="H214" s="36">
        <f>[214]Hoja1!$H$22</f>
        <v>2</v>
      </c>
      <c r="I214" s="36">
        <f t="shared" si="3"/>
        <v>5</v>
      </c>
      <c r="J214" s="37">
        <f>MAX([214]Hoja1!$A$5:$A$22)</f>
        <v>44056</v>
      </c>
      <c r="K214" s="38" t="str">
        <f>IF(ISTEXT([214]Hoja1!$A$23),[214]Hoja1!$A$23,"")</f>
        <v/>
      </c>
    </row>
    <row r="215" spans="2:11" x14ac:dyDescent="0.45">
      <c r="B215" s="39" t="s">
        <v>254</v>
      </c>
      <c r="C215" s="35" t="str">
        <f>[215]Hoja1!$A$1</f>
        <v>570-12840I020</v>
      </c>
      <c r="D215" s="36" t="str">
        <f>[215]Hoja1!$C$1</f>
        <v>conjunto piston ST/TS</v>
      </c>
      <c r="E215" s="36">
        <f>[215]Hoja1!$I$1</f>
        <v>0</v>
      </c>
      <c r="F215" s="36">
        <f>[215]Hoja1!$I$2</f>
        <v>1</v>
      </c>
      <c r="G215" s="36">
        <f>[215]Hoja1!$E$22</f>
        <v>0</v>
      </c>
      <c r="H215" s="36">
        <f>[215]Hoja1!$H$22</f>
        <v>4</v>
      </c>
      <c r="I215" s="36">
        <f t="shared" si="3"/>
        <v>4</v>
      </c>
      <c r="J215" s="37">
        <f>MAX([215]Hoja1!$A$5:$A$22)</f>
        <v>44043</v>
      </c>
      <c r="K215" s="38" t="str">
        <f>IF(ISTEXT([215]Hoja1!$A$23),[215]Hoja1!$A$23,"")</f>
        <v/>
      </c>
    </row>
    <row r="216" spans="2:11" x14ac:dyDescent="0.45">
      <c r="B216" s="39" t="s">
        <v>255</v>
      </c>
      <c r="C216" s="35" t="str">
        <f>[216]Hoja1!$A$1</f>
        <v>570-12840I040</v>
      </c>
      <c r="D216" s="36" t="str">
        <f>[216]Hoja1!$C$1</f>
        <v>conjunto piston ST/TS</v>
      </c>
      <c r="E216" s="36">
        <f>[216]Hoja1!$I$1</f>
        <v>0</v>
      </c>
      <c r="F216" s="36">
        <f>[216]Hoja1!$I$2</f>
        <v>1</v>
      </c>
      <c r="G216" s="36">
        <f>[216]Hoja1!$E$22</f>
        <v>0</v>
      </c>
      <c r="H216" s="36">
        <f>[216]Hoja1!$H$22</f>
        <v>2</v>
      </c>
      <c r="I216" s="36">
        <f t="shared" si="3"/>
        <v>2</v>
      </c>
      <c r="J216" s="37">
        <f>MAX([216]Hoja1!$A$5:$A$22)</f>
        <v>44043</v>
      </c>
      <c r="K216" s="38" t="str">
        <f>IF(ISTEXT([216]Hoja1!$A$23),[216]Hoja1!$A$23,"")</f>
        <v/>
      </c>
    </row>
    <row r="217" spans="2:11" x14ac:dyDescent="0.45">
      <c r="B217" s="39" t="s">
        <v>256</v>
      </c>
      <c r="C217" s="35" t="str">
        <f>[217]Hoja1!$A$1</f>
        <v>570-12910I</v>
      </c>
      <c r="D217" s="36" t="str">
        <f>[217]Hoja1!$C$1</f>
        <v>jgo de aros ST/TS</v>
      </c>
      <c r="E217" s="36">
        <f>[217]Hoja1!$I$1</f>
        <v>0</v>
      </c>
      <c r="F217" s="36">
        <f>[217]Hoja1!$I$2</f>
        <v>1</v>
      </c>
      <c r="G217" s="36">
        <f>[217]Hoja1!$E$22</f>
        <v>4</v>
      </c>
      <c r="H217" s="36">
        <f>[217]Hoja1!$H$22</f>
        <v>3</v>
      </c>
      <c r="I217" s="36">
        <f t="shared" si="3"/>
        <v>7</v>
      </c>
      <c r="J217" s="37">
        <f>MAX([217]Hoja1!$A$5:$A$22)</f>
        <v>44116</v>
      </c>
      <c r="K217" s="38" t="str">
        <f>IF(ISTEXT([217]Hoja1!$A$23),[217]Hoja1!$A$23,"")</f>
        <v/>
      </c>
    </row>
    <row r="218" spans="2:11" x14ac:dyDescent="0.45">
      <c r="B218" s="39" t="s">
        <v>257</v>
      </c>
      <c r="C218" s="35" t="str">
        <f>[218]Hoja1!$A$1</f>
        <v>570-12910I010</v>
      </c>
      <c r="D218" s="36" t="str">
        <f>[218]Hoja1!$C$1</f>
        <v>jgo de aros ST/TS</v>
      </c>
      <c r="E218" s="36">
        <f>[218]Hoja1!$I$1</f>
        <v>0</v>
      </c>
      <c r="F218" s="36">
        <f>[218]Hoja1!$I$2</f>
        <v>1</v>
      </c>
      <c r="G218" s="36">
        <f>[218]Hoja1!$E$22</f>
        <v>-1</v>
      </c>
      <c r="H218" s="36">
        <f>[218]Hoja1!$H$22</f>
        <v>6</v>
      </c>
      <c r="I218" s="36">
        <f t="shared" si="3"/>
        <v>5</v>
      </c>
      <c r="J218" s="37">
        <f>MAX([218]Hoja1!$A$5:$A$22)</f>
        <v>44121</v>
      </c>
      <c r="K218" s="38" t="str">
        <f>IF(ISTEXT([218]Hoja1!$A$23),[218]Hoja1!$A$23,"")</f>
        <v>sin aplicación - no hay pistones 010 en uso</v>
      </c>
    </row>
    <row r="219" spans="2:11" x14ac:dyDescent="0.45">
      <c r="B219" s="39" t="s">
        <v>258</v>
      </c>
      <c r="C219" s="35" t="str">
        <f>[219]Hoja1!$A$1</f>
        <v>570-12910I020</v>
      </c>
      <c r="D219" s="36" t="str">
        <f>[219]Hoja1!$C$1</f>
        <v>jgo de aros ST/TS</v>
      </c>
      <c r="E219" s="36">
        <f>[219]Hoja1!$I$1</f>
        <v>0</v>
      </c>
      <c r="F219" s="36">
        <f>[219]Hoja1!$I$2</f>
        <v>1</v>
      </c>
      <c r="G219" s="36">
        <f>[219]Hoja1!$E$22</f>
        <v>0</v>
      </c>
      <c r="H219" s="36">
        <f>[219]Hoja1!$H$22</f>
        <v>8</v>
      </c>
      <c r="I219" s="36">
        <f t="shared" si="3"/>
        <v>8</v>
      </c>
      <c r="J219" s="37">
        <f>MAX([219]Hoja1!$A$5:$A$22)</f>
        <v>44116</v>
      </c>
      <c r="K219" s="38" t="str">
        <f>IF(ISTEXT([219]Hoja1!$A$23),[219]Hoja1!$A$23,"")</f>
        <v>sin aplicación - no hay pistones 010 en uso</v>
      </c>
    </row>
    <row r="220" spans="2:11" x14ac:dyDescent="0.45">
      <c r="B220" s="39" t="s">
        <v>259</v>
      </c>
      <c r="C220" s="35" t="str">
        <f>[220]Hoja1!$A$1</f>
        <v>570-12960</v>
      </c>
      <c r="D220" s="36" t="str">
        <f>[220]Hoja1!$C$1</f>
        <v>cojinete axial  ST</v>
      </c>
      <c r="E220" s="36">
        <f>[220]Hoja1!$I$1</f>
        <v>0</v>
      </c>
      <c r="F220" s="36">
        <f>[220]Hoja1!$I$2</f>
        <v>1</v>
      </c>
      <c r="G220" s="36">
        <f>[220]Hoja1!$E$22</f>
        <v>0</v>
      </c>
      <c r="H220" s="36">
        <f>[220]Hoja1!$H$22</f>
        <v>50</v>
      </c>
      <c r="I220" s="36">
        <f t="shared" si="3"/>
        <v>50</v>
      </c>
      <c r="J220" s="37">
        <f>MAX([220]Hoja1!$A$5:$A$22)</f>
        <v>44043</v>
      </c>
      <c r="K220" s="38" t="str">
        <f>IF(ISTEXT([220]Hoja1!$A$23),[220]Hoja1!$A$23,"")</f>
        <v>revisar cant   - EXCEDENTE</v>
      </c>
    </row>
    <row r="221" spans="2:11" x14ac:dyDescent="0.45">
      <c r="B221" s="39" t="s">
        <v>260</v>
      </c>
      <c r="C221" s="35" t="str">
        <f>[221]Hoja1!$A$1</f>
        <v>570-12970I</v>
      </c>
      <c r="D221" s="36" t="str">
        <f>[221]Hoja1!$C$1</f>
        <v>cojinete de bancada  ST</v>
      </c>
      <c r="E221" s="36">
        <f>[221]Hoja1!$I$1</f>
        <v>0</v>
      </c>
      <c r="F221" s="36">
        <f>[221]Hoja1!$I$2</f>
        <v>1</v>
      </c>
      <c r="G221" s="36">
        <f>[221]Hoja1!$E$22</f>
        <v>-2</v>
      </c>
      <c r="H221" s="36">
        <f>[221]Hoja1!$H$22</f>
        <v>3</v>
      </c>
      <c r="I221" s="36">
        <f t="shared" si="3"/>
        <v>1</v>
      </c>
      <c r="J221" s="37">
        <f>MAX([221]Hoja1!$A$5:$A$22)</f>
        <v>44116</v>
      </c>
      <c r="K221" s="38" t="str">
        <f>IF(ISTEXT([221]Hoja1!$A$23),[221]Hoja1!$A$23,"")</f>
        <v/>
      </c>
    </row>
    <row r="222" spans="2:11" x14ac:dyDescent="0.45">
      <c r="B222" s="39" t="s">
        <v>261</v>
      </c>
      <c r="C222" s="35" t="str">
        <f>[222]Hoja1!$A$1</f>
        <v>570-12970I10</v>
      </c>
      <c r="D222" s="36" t="str">
        <f>[222]Hoja1!$C$1</f>
        <v>cojinete de bancda -010   ST</v>
      </c>
      <c r="E222" s="36">
        <f>[222]Hoja1!$I$1</f>
        <v>0</v>
      </c>
      <c r="F222" s="36">
        <f>[222]Hoja1!$I$2</f>
        <v>1</v>
      </c>
      <c r="G222" s="36">
        <f>[222]Hoja1!$E$22</f>
        <v>0</v>
      </c>
      <c r="H222" s="36">
        <f>[222]Hoja1!$H$22</f>
        <v>6</v>
      </c>
      <c r="I222" s="36">
        <f t="shared" si="3"/>
        <v>6</v>
      </c>
      <c r="J222" s="37">
        <f>MAX([222]Hoja1!$A$5:$A$22)</f>
        <v>44116</v>
      </c>
      <c r="K222" s="38" t="str">
        <f>IF(ISTEXT([222]Hoja1!$A$23),[222]Hoja1!$A$23,"")</f>
        <v/>
      </c>
    </row>
    <row r="223" spans="2:11" x14ac:dyDescent="0.45">
      <c r="B223" s="39" t="s">
        <v>262</v>
      </c>
      <c r="C223" s="35" t="str">
        <f>[223]Hoja1!$A$1</f>
        <v>570-12970I20</v>
      </c>
      <c r="D223" s="36" t="str">
        <f>[223]Hoja1!$C$1</f>
        <v>cojinete de bancda -020   ST</v>
      </c>
      <c r="E223" s="36">
        <f>[223]Hoja1!$I$1</f>
        <v>0</v>
      </c>
      <c r="F223" s="36">
        <f>[223]Hoja1!$I$2</f>
        <v>1</v>
      </c>
      <c r="G223" s="36">
        <f>[223]Hoja1!$E$22</f>
        <v>0</v>
      </c>
      <c r="H223" s="36">
        <f>[223]Hoja1!$H$22</f>
        <v>2</v>
      </c>
      <c r="I223" s="36">
        <f t="shared" si="3"/>
        <v>2</v>
      </c>
      <c r="J223" s="37">
        <f>MAX([223]Hoja1!$A$5:$A$22)</f>
        <v>44116</v>
      </c>
      <c r="K223" s="38" t="str">
        <f>IF(ISTEXT([223]Hoja1!$A$23),[223]Hoja1!$A$23,"")</f>
        <v/>
      </c>
    </row>
    <row r="224" spans="2:11" x14ac:dyDescent="0.45">
      <c r="B224" s="39" t="s">
        <v>263</v>
      </c>
      <c r="C224" s="35" t="str">
        <f>[224]Hoja1!$A$1</f>
        <v>570-12970I30</v>
      </c>
      <c r="D224" s="36" t="str">
        <f>[224]Hoja1!$C$1</f>
        <v>cojinete de bancda -030   ST</v>
      </c>
      <c r="E224" s="36">
        <f>[224]Hoja1!$I$1</f>
        <v>0</v>
      </c>
      <c r="F224" s="36">
        <f>[224]Hoja1!$I$2</f>
        <v>1</v>
      </c>
      <c r="G224" s="36">
        <f>[224]Hoja1!$E$22</f>
        <v>0</v>
      </c>
      <c r="H224" s="36">
        <f>[224]Hoja1!$H$22</f>
        <v>2</v>
      </c>
      <c r="I224" s="36">
        <f t="shared" si="3"/>
        <v>2</v>
      </c>
      <c r="J224" s="37">
        <f>MAX([224]Hoja1!$A$5:$A$22)</f>
        <v>44043</v>
      </c>
      <c r="K224" s="38" t="str">
        <f>IF(ISTEXT([224]Hoja1!$A$23),[224]Hoja1!$A$23,"")</f>
        <v/>
      </c>
    </row>
    <row r="225" spans="2:11" x14ac:dyDescent="0.45">
      <c r="B225" s="39" t="s">
        <v>264</v>
      </c>
      <c r="C225" s="35" t="str">
        <f>[225]Hoja1!$A$1</f>
        <v>570-12980I</v>
      </c>
      <c r="D225" s="36" t="str">
        <f>[225]Hoja1!$C$1</f>
        <v>cojinete de biela ST</v>
      </c>
      <c r="E225" s="36">
        <f>[225]Hoja1!$I$1</f>
        <v>0</v>
      </c>
      <c r="F225" s="36">
        <f>[225]Hoja1!$I$2</f>
        <v>1</v>
      </c>
      <c r="G225" s="36">
        <f>[225]Hoja1!$E$22</f>
        <v>-1</v>
      </c>
      <c r="H225" s="36">
        <f>[225]Hoja1!$H$22</f>
        <v>3</v>
      </c>
      <c r="I225" s="36">
        <f t="shared" si="3"/>
        <v>2</v>
      </c>
      <c r="J225" s="37">
        <f>MAX([225]Hoja1!$A$5:$A$22)</f>
        <v>44116</v>
      </c>
      <c r="K225" s="38" t="str">
        <f>IF(ISTEXT([225]Hoja1!$A$23),[225]Hoja1!$A$23,"")</f>
        <v/>
      </c>
    </row>
    <row r="226" spans="2:11" x14ac:dyDescent="0.45">
      <c r="B226" s="39" t="s">
        <v>265</v>
      </c>
      <c r="C226" s="35" t="str">
        <f>[226]Hoja1!$A$1</f>
        <v>570-12980I10</v>
      </c>
      <c r="D226" s="36" t="str">
        <f>[226]Hoja1!$C$1</f>
        <v>cojinete de biela 010  ST</v>
      </c>
      <c r="E226" s="36">
        <f>[226]Hoja1!$I$1</f>
        <v>0</v>
      </c>
      <c r="F226" s="36">
        <f>[226]Hoja1!$I$2</f>
        <v>1</v>
      </c>
      <c r="G226" s="36">
        <f>[226]Hoja1!$E$22</f>
        <v>0</v>
      </c>
      <c r="H226" s="36">
        <f>[226]Hoja1!$H$22</f>
        <v>0</v>
      </c>
      <c r="I226" s="36">
        <f t="shared" si="3"/>
        <v>0</v>
      </c>
      <c r="J226" s="37">
        <f>MAX([226]Hoja1!$A$5:$A$22)</f>
        <v>44116</v>
      </c>
      <c r="K226" s="38" t="str">
        <f>IF(ISTEXT([226]Hoja1!$A$23),[226]Hoja1!$A$23,"")</f>
        <v/>
      </c>
    </row>
    <row r="227" spans="2:11" x14ac:dyDescent="0.45">
      <c r="B227" s="39" t="s">
        <v>266</v>
      </c>
      <c r="C227" s="35" t="str">
        <f>[227]Hoja1!$A$1</f>
        <v>570-12980I20</v>
      </c>
      <c r="D227" s="36" t="str">
        <f>[227]Hoja1!$C$1</f>
        <v>cojinete de biela 020  ST</v>
      </c>
      <c r="E227" s="36">
        <f>[227]Hoja1!$I$1</f>
        <v>0</v>
      </c>
      <c r="F227" s="36">
        <f>[227]Hoja1!$I$2</f>
        <v>1</v>
      </c>
      <c r="G227" s="36">
        <f>[227]Hoja1!$E$22</f>
        <v>0</v>
      </c>
      <c r="H227" s="36">
        <f>[227]Hoja1!$H$22</f>
        <v>4</v>
      </c>
      <c r="I227" s="36">
        <f t="shared" si="3"/>
        <v>4</v>
      </c>
      <c r="J227" s="37">
        <f>MAX([227]Hoja1!$A$5:$A$22)</f>
        <v>44116</v>
      </c>
      <c r="K227" s="38" t="str">
        <f>IF(ISTEXT([227]Hoja1!$A$23),[227]Hoja1!$A$23,"")</f>
        <v/>
      </c>
    </row>
    <row r="228" spans="2:11" x14ac:dyDescent="0.45">
      <c r="B228" s="39" t="s">
        <v>267</v>
      </c>
      <c r="C228" s="35" t="str">
        <f>[228]Hoja1!$A$1</f>
        <v>570-12980I30</v>
      </c>
      <c r="D228" s="36" t="str">
        <f>[228]Hoja1!$C$1</f>
        <v>cojinete de biela 030  ST</v>
      </c>
      <c r="E228" s="36">
        <f>[228]Hoja1!$I$1</f>
        <v>0</v>
      </c>
      <c r="F228" s="36">
        <f>[228]Hoja1!$I$2</f>
        <v>1</v>
      </c>
      <c r="G228" s="36">
        <f>[228]Hoja1!$E$22</f>
        <v>0</v>
      </c>
      <c r="H228" s="36">
        <f>[228]Hoja1!$H$22</f>
        <v>4</v>
      </c>
      <c r="I228" s="36">
        <f t="shared" si="3"/>
        <v>4</v>
      </c>
      <c r="J228" s="37">
        <f>MAX([228]Hoja1!$A$5:$A$22)</f>
        <v>44043</v>
      </c>
      <c r="K228" s="38" t="str">
        <f>IF(ISTEXT([228]Hoja1!$A$23),[228]Hoja1!$A$23,"")</f>
        <v/>
      </c>
    </row>
    <row r="229" spans="2:11" x14ac:dyDescent="0.45">
      <c r="B229" s="39" t="s">
        <v>268</v>
      </c>
      <c r="C229" s="35" t="str">
        <f>[229]Hoja1!$A$1</f>
        <v>570-12980I40</v>
      </c>
      <c r="D229" s="36" t="str">
        <f>[229]Hoja1!$C$1</f>
        <v>cojinete de biela 040  ST</v>
      </c>
      <c r="E229" s="36">
        <f>[229]Hoja1!$I$1</f>
        <v>0</v>
      </c>
      <c r="F229" s="36">
        <f>[229]Hoja1!$I$2</f>
        <v>1</v>
      </c>
      <c r="G229" s="36">
        <f>[229]Hoja1!$E$22</f>
        <v>0</v>
      </c>
      <c r="H229" s="36">
        <f>[229]Hoja1!$H$22</f>
        <v>5</v>
      </c>
      <c r="I229" s="36">
        <f t="shared" si="3"/>
        <v>5</v>
      </c>
      <c r="J229" s="37">
        <f>MAX([229]Hoja1!$A$5:$A$22)</f>
        <v>44043</v>
      </c>
      <c r="K229" s="38" t="str">
        <f>IF(ISTEXT([229]Hoja1!$A$23),[229]Hoja1!$A$23,"")</f>
        <v/>
      </c>
    </row>
    <row r="230" spans="2:11" x14ac:dyDescent="0.45">
      <c r="B230" s="39" t="s">
        <v>269</v>
      </c>
      <c r="C230" s="35" t="str">
        <f>[230]Hoja1!$A$1</f>
        <v>570-12990</v>
      </c>
      <c r="D230" s="36" t="str">
        <f>[230]Hoja1!$C$1</f>
        <v>cojinete central std  ST</v>
      </c>
      <c r="E230" s="36">
        <f>[230]Hoja1!$I$1</f>
        <v>0</v>
      </c>
      <c r="F230" s="36">
        <f>[230]Hoja1!$I$2</f>
        <v>1</v>
      </c>
      <c r="G230" s="36">
        <f>[230]Hoja1!$E$22</f>
        <v>0</v>
      </c>
      <c r="H230" s="36">
        <f>[230]Hoja1!$H$22</f>
        <v>5</v>
      </c>
      <c r="I230" s="36">
        <f t="shared" si="3"/>
        <v>5</v>
      </c>
      <c r="J230" s="37">
        <f>MAX([230]Hoja1!$A$5:$A$22)</f>
        <v>44116</v>
      </c>
      <c r="K230" s="38" t="str">
        <f>IF(ISTEXT([230]Hoja1!$A$23),[230]Hoja1!$A$23,"")</f>
        <v/>
      </c>
    </row>
    <row r="231" spans="2:11" x14ac:dyDescent="0.45">
      <c r="B231" s="39" t="s">
        <v>270</v>
      </c>
      <c r="C231" s="35" t="str">
        <f>[231]Hoja1!$A$1</f>
        <v>570-12990I10</v>
      </c>
      <c r="D231" s="36" t="str">
        <f>[231]Hoja1!$C$1</f>
        <v>cojinete central -010  ST</v>
      </c>
      <c r="E231" s="36">
        <f>[231]Hoja1!$I$1</f>
        <v>0</v>
      </c>
      <c r="F231" s="36">
        <f>[231]Hoja1!$I$2</f>
        <v>1</v>
      </c>
      <c r="G231" s="36">
        <f>[231]Hoja1!$E$22</f>
        <v>0</v>
      </c>
      <c r="H231" s="36">
        <f>[231]Hoja1!$H$22</f>
        <v>3</v>
      </c>
      <c r="I231" s="36">
        <f t="shared" si="3"/>
        <v>3</v>
      </c>
      <c r="J231" s="37">
        <f>MAX([231]Hoja1!$A$5:$A$22)</f>
        <v>44043</v>
      </c>
      <c r="K231" s="38" t="str">
        <f>IF(ISTEXT([231]Hoja1!$A$23),[231]Hoja1!$A$23,"")</f>
        <v/>
      </c>
    </row>
    <row r="232" spans="2:11" x14ac:dyDescent="0.45">
      <c r="B232" s="39" t="s">
        <v>271</v>
      </c>
      <c r="C232" s="35" t="str">
        <f>[232]Hoja1!$A$1</f>
        <v>570-12990I20</v>
      </c>
      <c r="D232" s="36" t="str">
        <f>[232]Hoja1!$C$1</f>
        <v>cojinete central -020  ST</v>
      </c>
      <c r="E232" s="36">
        <f>[232]Hoja1!$I$1</f>
        <v>0</v>
      </c>
      <c r="F232" s="36">
        <f>[232]Hoja1!$I$2</f>
        <v>1</v>
      </c>
      <c r="G232" s="36">
        <f>[232]Hoja1!$E$22</f>
        <v>0</v>
      </c>
      <c r="H232" s="36">
        <f>[232]Hoja1!$H$22</f>
        <v>6</v>
      </c>
      <c r="I232" s="36">
        <f t="shared" si="3"/>
        <v>6</v>
      </c>
      <c r="J232" s="37">
        <f>MAX([232]Hoja1!$A$5:$A$22)</f>
        <v>44116</v>
      </c>
      <c r="K232" s="38" t="str">
        <f>IF(ISTEXT([232]Hoja1!$A$23),[232]Hoja1!$A$23,"")</f>
        <v/>
      </c>
    </row>
    <row r="233" spans="2:11" x14ac:dyDescent="0.45">
      <c r="B233" s="39" t="s">
        <v>272</v>
      </c>
      <c r="C233" s="35" t="str">
        <f>[233]Hoja1!$A$1</f>
        <v>570-12990I30</v>
      </c>
      <c r="D233" s="36" t="str">
        <f>[233]Hoja1!$C$1</f>
        <v>cojinete central -030  ST</v>
      </c>
      <c r="E233" s="36">
        <f>[233]Hoja1!$I$1</f>
        <v>0</v>
      </c>
      <c r="F233" s="36">
        <f>[233]Hoja1!$I$2</f>
        <v>1</v>
      </c>
      <c r="G233" s="36">
        <f>[233]Hoja1!$E$22</f>
        <v>0</v>
      </c>
      <c r="H233" s="36">
        <f>[233]Hoja1!$H$22</f>
        <v>9</v>
      </c>
      <c r="I233" s="36">
        <f t="shared" si="3"/>
        <v>9</v>
      </c>
      <c r="J233" s="37">
        <f>MAX([233]Hoja1!$A$5:$A$22)</f>
        <v>44043</v>
      </c>
      <c r="K233" s="38" t="str">
        <f>IF(ISTEXT([233]Hoja1!$A$23),[233]Hoja1!$A$23,"")</f>
        <v/>
      </c>
    </row>
    <row r="234" spans="2:11" x14ac:dyDescent="0.45">
      <c r="B234" s="39" t="s">
        <v>273</v>
      </c>
      <c r="C234" s="35" t="str">
        <f>[234]Hoja1!$A$1</f>
        <v>570-12990I40</v>
      </c>
      <c r="D234" s="36" t="str">
        <f>[234]Hoja1!$C$1</f>
        <v>cojinete central -040  ST</v>
      </c>
      <c r="E234" s="36">
        <f>[234]Hoja1!$I$1</f>
        <v>0</v>
      </c>
      <c r="F234" s="36">
        <f>[234]Hoja1!$I$2</f>
        <v>1</v>
      </c>
      <c r="G234" s="36">
        <f>[234]Hoja1!$E$22</f>
        <v>0</v>
      </c>
      <c r="H234" s="36">
        <f>[234]Hoja1!$H$22</f>
        <v>2</v>
      </c>
      <c r="I234" s="36">
        <f t="shared" si="3"/>
        <v>2</v>
      </c>
      <c r="J234" s="37">
        <f>MAX([234]Hoja1!$A$5:$A$22)</f>
        <v>44043</v>
      </c>
      <c r="K234" s="38" t="str">
        <f>IF(ISTEXT([234]Hoja1!$A$23),[234]Hoja1!$A$23,"")</f>
        <v/>
      </c>
    </row>
    <row r="235" spans="2:11" x14ac:dyDescent="0.45">
      <c r="B235" s="39" t="s">
        <v>274</v>
      </c>
      <c r="C235" s="35" t="str">
        <f>[235]Hoja1!$A$1</f>
        <v>570-30010I</v>
      </c>
      <c r="D235" s="36" t="str">
        <f>[235]Hoja1!$C$1</f>
        <v>cojinete de bcada lado engranajes TS/R</v>
      </c>
      <c r="E235" s="36">
        <f>[235]Hoja1!$I$1</f>
        <v>0</v>
      </c>
      <c r="F235" s="36">
        <f>[235]Hoja1!$I$2</f>
        <v>1</v>
      </c>
      <c r="G235" s="36">
        <f>[235]Hoja1!$E$22</f>
        <v>0</v>
      </c>
      <c r="H235" s="36">
        <f>[235]Hoja1!$H$22</f>
        <v>4</v>
      </c>
      <c r="I235" s="36">
        <f t="shared" si="3"/>
        <v>4</v>
      </c>
      <c r="J235" s="37">
        <f>MAX([235]Hoja1!$A$5:$A$22)</f>
        <v>44116</v>
      </c>
      <c r="K235" s="38" t="str">
        <f>IF(ISTEXT([235]Hoja1!$A$23),[235]Hoja1!$A$23,"")</f>
        <v/>
      </c>
    </row>
    <row r="236" spans="2:11" x14ac:dyDescent="0.45">
      <c r="B236" s="39" t="s">
        <v>275</v>
      </c>
      <c r="C236" s="35" t="str">
        <f>[236]Hoja1!$A$1</f>
        <v>570-30010I025</v>
      </c>
      <c r="D236" s="36" t="str">
        <f>[236]Hoja1!$C$1</f>
        <v>cojinete de bcada lado engranajes TS/TR</v>
      </c>
      <c r="E236" s="36">
        <f>[236]Hoja1!$I$1</f>
        <v>0</v>
      </c>
      <c r="F236" s="36">
        <f>[236]Hoja1!$I$2</f>
        <v>1</v>
      </c>
      <c r="G236" s="36">
        <f>[236]Hoja1!$E$22</f>
        <v>0</v>
      </c>
      <c r="H236" s="36">
        <f>[236]Hoja1!$H$22</f>
        <v>5</v>
      </c>
      <c r="I236" s="36">
        <f t="shared" si="3"/>
        <v>5</v>
      </c>
      <c r="J236" s="37">
        <f>MAX([236]Hoja1!$A$5:$A$22)</f>
        <v>44116</v>
      </c>
      <c r="K236" s="38" t="str">
        <f>IF(ISTEXT([236]Hoja1!$A$23),[236]Hoja1!$A$23,"")</f>
        <v/>
      </c>
    </row>
    <row r="237" spans="2:11" x14ac:dyDescent="0.45">
      <c r="B237" s="39" t="s">
        <v>276</v>
      </c>
      <c r="C237" s="35" t="str">
        <f>[237]Hoja1!$A$1</f>
        <v>570-30010I050</v>
      </c>
      <c r="D237" s="36" t="str">
        <f>[237]Hoja1!$C$1</f>
        <v>cojinete de bcada lado engranajes TS/TR</v>
      </c>
      <c r="E237" s="36">
        <f>[237]Hoja1!$I$1</f>
        <v>0</v>
      </c>
      <c r="F237" s="36">
        <f>[237]Hoja1!$I$2</f>
        <v>1</v>
      </c>
      <c r="G237" s="36">
        <f>[237]Hoja1!$E$22</f>
        <v>0</v>
      </c>
      <c r="H237" s="36">
        <f>[237]Hoja1!$H$22</f>
        <v>5</v>
      </c>
      <c r="I237" s="36">
        <f t="shared" si="3"/>
        <v>5</v>
      </c>
      <c r="J237" s="37">
        <f>MAX([237]Hoja1!$A$5:$A$22)</f>
        <v>44116</v>
      </c>
      <c r="K237" s="38" t="str">
        <f>IF(ISTEXT([237]Hoja1!$A$23),[237]Hoja1!$A$23,"")</f>
        <v/>
      </c>
    </row>
    <row r="238" spans="2:11" x14ac:dyDescent="0.45">
      <c r="B238" s="39" t="s">
        <v>277</v>
      </c>
      <c r="C238" s="35" t="str">
        <f>[238]Hoja1!$A$1</f>
        <v>570-30010I100</v>
      </c>
      <c r="D238" s="36" t="str">
        <f>[238]Hoja1!$C$1</f>
        <v>cojinete de bcada lado engranajes TS/TR</v>
      </c>
      <c r="E238" s="36">
        <f>[238]Hoja1!$I$1</f>
        <v>0</v>
      </c>
      <c r="F238" s="36">
        <f>[238]Hoja1!$I$2</f>
        <v>1</v>
      </c>
      <c r="G238" s="36">
        <f>[238]Hoja1!$E$22</f>
        <v>0</v>
      </c>
      <c r="H238" s="36">
        <f>[238]Hoja1!$H$22</f>
        <v>1</v>
      </c>
      <c r="I238" s="36">
        <f t="shared" si="3"/>
        <v>1</v>
      </c>
      <c r="J238" s="37">
        <f>MAX([238]Hoja1!$A$5:$A$22)</f>
        <v>44116</v>
      </c>
      <c r="K238" s="38" t="str">
        <f>IF(ISTEXT([238]Hoja1!$A$23),[238]Hoja1!$A$23,"")</f>
        <v/>
      </c>
    </row>
    <row r="239" spans="2:11" x14ac:dyDescent="0.45">
      <c r="B239" s="39" t="s">
        <v>278</v>
      </c>
      <c r="C239" s="35" t="str">
        <f>[239]Hoja1!$A$1</f>
        <v>570-30011I</v>
      </c>
      <c r="D239" s="36" t="str">
        <f>[239]Hoja1!$C$1</f>
        <v>cojinete de bancada lado volante TS/TS</v>
      </c>
      <c r="E239" s="36">
        <f>[239]Hoja1!$I$1</f>
        <v>0</v>
      </c>
      <c r="F239" s="36">
        <f>[239]Hoja1!$I$2</f>
        <v>1</v>
      </c>
      <c r="G239" s="36">
        <f>[239]Hoja1!$E$22</f>
        <v>0</v>
      </c>
      <c r="H239" s="36">
        <f>[239]Hoja1!$H$22</f>
        <v>4</v>
      </c>
      <c r="I239" s="36">
        <f t="shared" si="3"/>
        <v>4</v>
      </c>
      <c r="J239" s="37">
        <f>MAX([239]Hoja1!$A$5:$A$22)</f>
        <v>44116</v>
      </c>
      <c r="K239" s="38" t="str">
        <f>IF(ISTEXT([239]Hoja1!$A$23),[239]Hoja1!$A$23,"")</f>
        <v>hay 1 muestra "B"</v>
      </c>
    </row>
    <row r="240" spans="2:11" x14ac:dyDescent="0.45">
      <c r="B240" s="45" t="s">
        <v>279</v>
      </c>
      <c r="C240" s="35" t="str">
        <f>[240]Hoja1!$A$1</f>
        <v>570-30011I025,</v>
      </c>
      <c r="D240" s="36" t="str">
        <f>[240]Hoja1!$C$1</f>
        <v>cojinete de bancada lado volante TS/TR</v>
      </c>
      <c r="E240" s="36">
        <f>[240]Hoja1!$I$1</f>
        <v>0</v>
      </c>
      <c r="F240" s="36">
        <f>[240]Hoja1!$I$2</f>
        <v>1</v>
      </c>
      <c r="G240" s="36">
        <f>[240]Hoja1!$E$22</f>
        <v>0</v>
      </c>
      <c r="H240" s="36">
        <f>[240]Hoja1!$H$22</f>
        <v>2</v>
      </c>
      <c r="I240" s="36">
        <f t="shared" si="3"/>
        <v>2</v>
      </c>
      <c r="J240" s="37">
        <f>MAX([240]Hoja1!$A$5:$A$22)</f>
        <v>44116</v>
      </c>
      <c r="K240" s="38" t="str">
        <f>IF(ISTEXT([240]Hoja1!$A$23),[240]Hoja1!$A$23,"")</f>
        <v/>
      </c>
    </row>
    <row r="241" spans="2:11" x14ac:dyDescent="0.45">
      <c r="B241" s="39" t="s">
        <v>280</v>
      </c>
      <c r="C241" s="35" t="str">
        <f>[241]Hoja1!$A$1</f>
        <v>570-30011I050</v>
      </c>
      <c r="D241" s="36" t="str">
        <f>[241]Hoja1!$C$1</f>
        <v>cojinete de bancada lado volante TS/TR</v>
      </c>
      <c r="E241" s="36">
        <f>[241]Hoja1!$I$1</f>
        <v>0</v>
      </c>
      <c r="F241" s="36">
        <f>[241]Hoja1!$I$2</f>
        <v>1</v>
      </c>
      <c r="G241" s="36">
        <f>[241]Hoja1!$E$22</f>
        <v>0</v>
      </c>
      <c r="H241" s="36">
        <f>[241]Hoja1!$H$22</f>
        <v>3</v>
      </c>
      <c r="I241" s="36">
        <f t="shared" si="3"/>
        <v>3</v>
      </c>
      <c r="J241" s="37">
        <f>MAX([241]Hoja1!$A$5:$A$22)</f>
        <v>44116</v>
      </c>
      <c r="K241" s="38" t="str">
        <f>IF(ISTEXT([241]Hoja1!$A$23),[241]Hoja1!$A$23,"")</f>
        <v>haay 3 muestras "B"</v>
      </c>
    </row>
    <row r="242" spans="2:11" x14ac:dyDescent="0.45">
      <c r="B242" s="39" t="s">
        <v>281</v>
      </c>
      <c r="C242" s="35" t="str">
        <f>[242]Hoja1!$A$1</f>
        <v>570-30011I100</v>
      </c>
      <c r="D242" s="36" t="str">
        <f>[242]Hoja1!$C$1</f>
        <v>cojinete de bancada lado volante TS/TR</v>
      </c>
      <c r="E242" s="36">
        <f>[242]Hoja1!$I$1</f>
        <v>0</v>
      </c>
      <c r="F242" s="36">
        <f>[242]Hoja1!$I$2</f>
        <v>1</v>
      </c>
      <c r="G242" s="36">
        <f>[242]Hoja1!$E$22</f>
        <v>0</v>
      </c>
      <c r="H242" s="36">
        <f>[242]Hoja1!$H$22</f>
        <v>0</v>
      </c>
      <c r="I242" s="36">
        <f t="shared" si="3"/>
        <v>0</v>
      </c>
      <c r="J242" s="37">
        <f>MAX([242]Hoja1!$A$5:$A$22)</f>
        <v>44116</v>
      </c>
      <c r="K242" s="38" t="str">
        <f>IF(ISTEXT([242]Hoja1!$A$23),[242]Hoja1!$A$23,"")</f>
        <v/>
      </c>
    </row>
    <row r="243" spans="2:11" x14ac:dyDescent="0.45">
      <c r="B243" s="39" t="s">
        <v>282</v>
      </c>
      <c r="C243" s="35" t="str">
        <f>[243]Hoja1!$A$1</f>
        <v>570-30261I</v>
      </c>
      <c r="D243" s="36" t="str">
        <f>[243]Hoja1!$C$1</f>
        <v>biela TS/TR</v>
      </c>
      <c r="E243" s="36">
        <f>[243]Hoja1!$I$1</f>
        <v>0</v>
      </c>
      <c r="F243" s="36">
        <f>[243]Hoja1!$I$2</f>
        <v>1</v>
      </c>
      <c r="G243" s="36">
        <f>[243]Hoja1!$E$22</f>
        <v>0</v>
      </c>
      <c r="H243" s="36">
        <f>[243]Hoja1!$H$22</f>
        <v>0</v>
      </c>
      <c r="I243" s="36">
        <f t="shared" si="3"/>
        <v>0</v>
      </c>
      <c r="J243" s="37">
        <f>MAX([243]Hoja1!$A$5:$A$22)</f>
        <v>44043</v>
      </c>
      <c r="K243" s="38" t="str">
        <f>IF(ISTEXT([243]Hoja1!$A$23),[243]Hoja1!$A$23,"")</f>
        <v>ver stock  bielas ST modificadas  (se angosta el  pie y  corrige la posicion de las muescas de trabado)</v>
      </c>
    </row>
    <row r="244" spans="2:11" x14ac:dyDescent="0.45">
      <c r="B244" s="39" t="s">
        <v>283</v>
      </c>
      <c r="C244" s="35" t="str">
        <f>[244]Hoja1!$A$1</f>
        <v>570-30641I</v>
      </c>
      <c r="D244" s="36" t="str">
        <f>[244]Hoja1!$C$1</f>
        <v>manivela TS/TR</v>
      </c>
      <c r="E244" s="36">
        <f>[244]Hoja1!$I$1</f>
        <v>0</v>
      </c>
      <c r="F244" s="36">
        <f>[244]Hoja1!$I$2</f>
        <v>1</v>
      </c>
      <c r="G244" s="36">
        <f>[244]Hoja1!$E$22</f>
        <v>0</v>
      </c>
      <c r="H244" s="36">
        <f>[244]Hoja1!$H$22</f>
        <v>0</v>
      </c>
      <c r="I244" s="36">
        <f t="shared" si="3"/>
        <v>0</v>
      </c>
      <c r="J244" s="37">
        <f>MAX([244]Hoja1!$A$5:$A$22)</f>
        <v>44043</v>
      </c>
      <c r="K244" s="38" t="str">
        <f>IF(ISTEXT([244]Hoja1!$A$23),[244]Hoja1!$A$23,"")</f>
        <v/>
      </c>
    </row>
    <row r="245" spans="2:11" x14ac:dyDescent="0.45">
      <c r="B245" s="39" t="s">
        <v>284</v>
      </c>
      <c r="C245" s="35" t="str">
        <f>[245]Hoja1!$A$1</f>
        <v>570-30680I</v>
      </c>
      <c r="D245" s="36" t="str">
        <f>[245]Hoja1!$C$1</f>
        <v>bomba de aceite TS/TR</v>
      </c>
      <c r="E245" s="36">
        <f>[245]Hoja1!$I$1</f>
        <v>0</v>
      </c>
      <c r="F245" s="36">
        <f>[245]Hoja1!$I$2</f>
        <v>1</v>
      </c>
      <c r="G245" s="36">
        <f>[245]Hoja1!$E$22</f>
        <v>1</v>
      </c>
      <c r="H245" s="36">
        <f>[245]Hoja1!$H$22</f>
        <v>0</v>
      </c>
      <c r="I245" s="36">
        <f t="shared" si="3"/>
        <v>1</v>
      </c>
      <c r="J245" s="37">
        <f>MAX([245]Hoja1!$A$5:$A$22)</f>
        <v>44056</v>
      </c>
      <c r="K245" s="38" t="str">
        <f>IF(ISTEXT([245]Hoja1!$A$23),[245]Hoja1!$A$23,"")</f>
        <v/>
      </c>
    </row>
    <row r="246" spans="2:11" x14ac:dyDescent="0.45">
      <c r="B246" s="39" t="s">
        <v>285</v>
      </c>
      <c r="C246" s="35" t="str">
        <f>[246]Hoja1!$A$1</f>
        <v>570-30770I</v>
      </c>
      <c r="D246" s="36" t="str">
        <f>[246]Hoja1!$C$1</f>
        <v>boador con rodillo  TS/TR</v>
      </c>
      <c r="E246" s="36">
        <f>[246]Hoja1!$I$1</f>
        <v>0</v>
      </c>
      <c r="F246" s="36">
        <f>[246]Hoja1!$I$2</f>
        <v>1</v>
      </c>
      <c r="G246" s="36">
        <f>[246]Hoja1!$E$22</f>
        <v>0</v>
      </c>
      <c r="H246" s="36">
        <f>[246]Hoja1!$H$22</f>
        <v>0</v>
      </c>
      <c r="I246" s="36">
        <f t="shared" si="3"/>
        <v>0</v>
      </c>
      <c r="J246" s="37">
        <f>MAX([246]Hoja1!$A$5:$A$22)</f>
        <v>44043</v>
      </c>
      <c r="K246" s="38" t="str">
        <f>IF(ISTEXT([246]Hoja1!$A$23),[246]Hoja1!$A$23,"")</f>
        <v/>
      </c>
    </row>
    <row r="247" spans="2:11" x14ac:dyDescent="0.45">
      <c r="B247" s="39" t="s">
        <v>286</v>
      </c>
      <c r="C247" s="35" t="str">
        <f>[247]Hoja1!$A$1</f>
        <v>570-31360I</v>
      </c>
      <c r="D247" s="36" t="str">
        <f>[247]Hoja1!$C$1</f>
        <v>cojinete axial  TS/TR</v>
      </c>
      <c r="E247" s="36">
        <f>[247]Hoja1!$I$1</f>
        <v>0</v>
      </c>
      <c r="F247" s="36">
        <f>[247]Hoja1!$I$2</f>
        <v>1</v>
      </c>
      <c r="G247" s="36">
        <f>[247]Hoja1!$E$22</f>
        <v>0</v>
      </c>
      <c r="H247" s="36">
        <f>[247]Hoja1!$H$22</f>
        <v>0</v>
      </c>
      <c r="I247" s="36">
        <f t="shared" si="3"/>
        <v>0</v>
      </c>
      <c r="J247" s="37">
        <f>MAX([247]Hoja1!$A$5:$A$22)</f>
        <v>44043</v>
      </c>
      <c r="K247" s="38" t="str">
        <f>IF(ISTEXT([247]Hoja1!$A$23),[247]Hoja1!$A$23,"")</f>
        <v/>
      </c>
    </row>
    <row r="248" spans="2:11" x14ac:dyDescent="0.45">
      <c r="B248" s="39" t="s">
        <v>287</v>
      </c>
      <c r="C248" s="35" t="str">
        <f>[248]Hoja1!$A$1</f>
        <v>570-31370I</v>
      </c>
      <c r="D248" s="36" t="str">
        <f>[248]Hoja1!$C$1</f>
        <v>cojinete de biela  TS/TR</v>
      </c>
      <c r="E248" s="36">
        <f>[248]Hoja1!$I$1</f>
        <v>0</v>
      </c>
      <c r="F248" s="36">
        <f>[248]Hoja1!$I$2</f>
        <v>1</v>
      </c>
      <c r="G248" s="36">
        <f>[248]Hoja1!$E$22</f>
        <v>-1</v>
      </c>
      <c r="H248" s="36">
        <f>[248]Hoja1!$H$22</f>
        <v>0</v>
      </c>
      <c r="I248" s="36">
        <f t="shared" si="3"/>
        <v>-1</v>
      </c>
      <c r="J248" s="37">
        <f>MAX([248]Hoja1!$A$5:$A$22)</f>
        <v>44116</v>
      </c>
      <c r="K248" s="38" t="str">
        <f>IF(ISTEXT([248]Hoja1!$A$23),[248]Hoja1!$A$23,"")</f>
        <v/>
      </c>
    </row>
    <row r="249" spans="2:11" x14ac:dyDescent="0.45">
      <c r="B249" s="39" t="s">
        <v>288</v>
      </c>
      <c r="C249" s="35" t="str">
        <f>[249]Hoja1!$A$1</f>
        <v>570-31370I025</v>
      </c>
      <c r="D249" s="36" t="str">
        <f>[249]Hoja1!$C$1</f>
        <v>cojinete de biela  TS/TR</v>
      </c>
      <c r="E249" s="36">
        <f>[249]Hoja1!$I$1</f>
        <v>0</v>
      </c>
      <c r="F249" s="36">
        <f>[249]Hoja1!$I$2</f>
        <v>1</v>
      </c>
      <c r="G249" s="36">
        <f>[249]Hoja1!$E$22</f>
        <v>0</v>
      </c>
      <c r="H249" s="36">
        <f>[249]Hoja1!$H$22</f>
        <v>0</v>
      </c>
      <c r="I249" s="36">
        <f t="shared" si="3"/>
        <v>0</v>
      </c>
      <c r="J249" s="37">
        <f>MAX([249]Hoja1!$A$5:$A$22)</f>
        <v>44043</v>
      </c>
      <c r="K249" s="38" t="str">
        <f>IF(ISTEXT([249]Hoja1!$A$23),[249]Hoja1!$A$23,"")</f>
        <v/>
      </c>
    </row>
    <row r="250" spans="2:11" x14ac:dyDescent="0.45">
      <c r="B250" s="39" t="s">
        <v>289</v>
      </c>
      <c r="C250" s="35" t="str">
        <f>[250]Hoja1!$A$1</f>
        <v>570-31370I050</v>
      </c>
      <c r="D250" s="36" t="str">
        <f>[250]Hoja1!$C$1</f>
        <v>cojinete de biela  TS/TR</v>
      </c>
      <c r="E250" s="36">
        <f>[250]Hoja1!$I$1</f>
        <v>0</v>
      </c>
      <c r="F250" s="36">
        <f>[250]Hoja1!$I$2</f>
        <v>1</v>
      </c>
      <c r="G250" s="36">
        <f>[250]Hoja1!$E$22</f>
        <v>3</v>
      </c>
      <c r="H250" s="36">
        <f>[250]Hoja1!$H$22</f>
        <v>0</v>
      </c>
      <c r="I250" s="36">
        <f t="shared" si="3"/>
        <v>3</v>
      </c>
      <c r="J250" s="37">
        <f>MAX([250]Hoja1!$A$5:$A$22)</f>
        <v>44116</v>
      </c>
      <c r="K250" s="38" t="str">
        <f>IF(ISTEXT([250]Hoja1!$A$23),[250]Hoja1!$A$23,"")</f>
        <v>hay muestras "B" ver cant</v>
      </c>
    </row>
    <row r="251" spans="2:11" x14ac:dyDescent="0.45">
      <c r="B251" s="39" t="s">
        <v>290</v>
      </c>
      <c r="C251" s="35" t="str">
        <f>[251]Hoja1!$A$1</f>
        <v>570-31370I075</v>
      </c>
      <c r="D251" s="36" t="str">
        <f>[251]Hoja1!$C$1</f>
        <v>cojinete de biela  TS/TR</v>
      </c>
      <c r="E251" s="36">
        <f>[251]Hoja1!$I$1</f>
        <v>0</v>
      </c>
      <c r="F251" s="36">
        <f>[251]Hoja1!$I$2</f>
        <v>1</v>
      </c>
      <c r="G251" s="36">
        <f>[251]Hoja1!$E$22</f>
        <v>0</v>
      </c>
      <c r="H251" s="36">
        <f>[251]Hoja1!$H$22</f>
        <v>0</v>
      </c>
      <c r="I251" s="36">
        <f t="shared" si="3"/>
        <v>0</v>
      </c>
      <c r="J251" s="37">
        <f>MAX([251]Hoja1!$A$5:$A$22)</f>
        <v>44043</v>
      </c>
      <c r="K251" s="38" t="str">
        <f>IF(ISTEXT([251]Hoja1!$A$23),[251]Hoja1!$A$23,"")</f>
        <v>hay muestras "B" ver cant</v>
      </c>
    </row>
    <row r="252" spans="2:11" x14ac:dyDescent="0.45">
      <c r="B252" s="39" t="s">
        <v>291</v>
      </c>
      <c r="C252" s="35" t="str">
        <f>[252]Hoja1!$A$1</f>
        <v>570-33360AP</v>
      </c>
      <c r="D252" s="36" t="str">
        <f>[252]Hoja1!$C$1</f>
        <v>PISTON DESNUDO  TR</v>
      </c>
      <c r="E252" s="36">
        <f>[252]Hoja1!$I$1</f>
        <v>0</v>
      </c>
      <c r="F252" s="36">
        <f>[252]Hoja1!$I$2</f>
        <v>1</v>
      </c>
      <c r="G252" s="36">
        <f>[252]Hoja1!$E$22</f>
        <v>0</v>
      </c>
      <c r="H252" s="36">
        <f>[252]Hoja1!$H$22</f>
        <v>0</v>
      </c>
      <c r="I252" s="36">
        <f t="shared" si="3"/>
        <v>0</v>
      </c>
      <c r="J252" s="37">
        <f>MAX([252]Hoja1!$A$5:$A$22)</f>
        <v>44043</v>
      </c>
      <c r="K252" s="38" t="str">
        <f>IF(ISTEXT([252]Hoja1!$A$23),[252]Hoja1!$A$23,"")</f>
        <v>hay muestras "B" ver cant</v>
      </c>
    </row>
    <row r="253" spans="2:11" x14ac:dyDescent="0.45">
      <c r="B253" s="39" t="s">
        <v>292</v>
      </c>
      <c r="C253" s="35" t="str">
        <f>[253]Hoja1!$A$1</f>
        <v>570-33360AP20</v>
      </c>
      <c r="D253" s="36" t="str">
        <f>[253]Hoja1!$C$1</f>
        <v>PISTON DESNUDO TR</v>
      </c>
      <c r="E253" s="36">
        <f>[253]Hoja1!$I$1</f>
        <v>0</v>
      </c>
      <c r="F253" s="36">
        <f>[253]Hoja1!$I$2</f>
        <v>1</v>
      </c>
      <c r="G253" s="36">
        <f>[253]Hoja1!$E$22</f>
        <v>0</v>
      </c>
      <c r="H253" s="36">
        <f>[253]Hoja1!$H$22</f>
        <v>0</v>
      </c>
      <c r="I253" s="36">
        <f t="shared" si="3"/>
        <v>0</v>
      </c>
      <c r="J253" s="37">
        <f>MAX([253]Hoja1!$A$5:$A$22)</f>
        <v>44043</v>
      </c>
      <c r="K253" s="38" t="str">
        <f>IF(ISTEXT([253]Hoja1!$A$23),[253]Hoja1!$A$23,"")</f>
        <v>hay muestras "B" ver cant</v>
      </c>
    </row>
    <row r="254" spans="2:11" x14ac:dyDescent="0.45">
      <c r="B254" s="39" t="s">
        <v>293</v>
      </c>
      <c r="C254" s="35" t="str">
        <f>[254]Hoja1!$A$1</f>
        <v>570-33360AP40</v>
      </c>
      <c r="D254" s="36" t="str">
        <f>[254]Hoja1!$C$1</f>
        <v>PISTON DESNUDO  TR</v>
      </c>
      <c r="E254" s="36">
        <f>[254]Hoja1!$I$1</f>
        <v>0</v>
      </c>
      <c r="F254" s="36">
        <f>[254]Hoja1!$I$2</f>
        <v>1</v>
      </c>
      <c r="G254" s="36">
        <f>[254]Hoja1!$E$22</f>
        <v>0</v>
      </c>
      <c r="H254" s="36">
        <f>[254]Hoja1!$H$22</f>
        <v>0</v>
      </c>
      <c r="I254" s="36">
        <f t="shared" si="3"/>
        <v>0</v>
      </c>
      <c r="J254" s="37">
        <f>MAX([254]Hoja1!$A$5:$A$22)</f>
        <v>44043</v>
      </c>
      <c r="K254" s="38" t="str">
        <f>IF(ISTEXT([254]Hoja1!$A$23),[254]Hoja1!$A$23,"")</f>
        <v>hay muestras "B" ver cant</v>
      </c>
    </row>
    <row r="255" spans="2:11" x14ac:dyDescent="0.45">
      <c r="B255" s="39" t="s">
        <v>294</v>
      </c>
      <c r="C255" s="35" t="str">
        <f>[255]Hoja1!$A$1</f>
        <v>570-33360APER</v>
      </c>
      <c r="D255" s="36" t="str">
        <f>[255]Hoja1!$C$1</f>
        <v>perno de piston  TR</v>
      </c>
      <c r="E255" s="36">
        <f>[255]Hoja1!$I$1</f>
        <v>0</v>
      </c>
      <c r="F255" s="36">
        <f>[255]Hoja1!$I$2</f>
        <v>1</v>
      </c>
      <c r="G255" s="36">
        <f>[255]Hoja1!$E$22</f>
        <v>0</v>
      </c>
      <c r="H255" s="36">
        <f>[255]Hoja1!$H$22</f>
        <v>0</v>
      </c>
      <c r="I255" s="36">
        <f t="shared" si="3"/>
        <v>0</v>
      </c>
      <c r="J255" s="37">
        <f>MAX([255]Hoja1!$A$5:$A$22)</f>
        <v>44043</v>
      </c>
      <c r="K255" s="38" t="str">
        <f>IF(ISTEXT([255]Hoja1!$A$23),[255]Hoja1!$A$23,"")</f>
        <v>hay muestras "B" ver cant</v>
      </c>
    </row>
    <row r="256" spans="2:11" x14ac:dyDescent="0.45">
      <c r="B256" s="45" t="s">
        <v>295</v>
      </c>
      <c r="C256" s="35" t="str">
        <f>[256]Hoja1!$A$1</f>
        <v>570-33360i</v>
      </c>
      <c r="D256" s="36" t="str">
        <f>[256]Hoja1!$C$1</f>
        <v>conjunto piston TR</v>
      </c>
      <c r="E256" s="36">
        <f>[256]Hoja1!$I$1</f>
        <v>0</v>
      </c>
      <c r="F256" s="36">
        <f>[256]Hoja1!$I$2</f>
        <v>1</v>
      </c>
      <c r="G256" s="36">
        <f>[256]Hoja1!$E$22</f>
        <v>0</v>
      </c>
      <c r="H256" s="36">
        <f>[256]Hoja1!$H$22</f>
        <v>3</v>
      </c>
      <c r="I256" s="36">
        <f t="shared" si="3"/>
        <v>3</v>
      </c>
      <c r="J256" s="37">
        <f>MAX([256]Hoja1!$A$5:$A$22)</f>
        <v>44043</v>
      </c>
      <c r="K256" s="38" t="str">
        <f>IF(ISTEXT([256]Hoja1!$A$23),[256]Hoja1!$A$23,"")</f>
        <v>hay muestras "B" ver cant</v>
      </c>
    </row>
    <row r="257" spans="2:11" x14ac:dyDescent="0.45">
      <c r="B257" s="39" t="s">
        <v>296</v>
      </c>
      <c r="C257" s="35" t="str">
        <f>[257]Hoja1!$A$1</f>
        <v>570-33360I025</v>
      </c>
      <c r="D257" s="36" t="str">
        <f>[257]Hoja1!$C$1</f>
        <v>conjunto piston TR</v>
      </c>
      <c r="E257" s="36">
        <f>[257]Hoja1!$I$1</f>
        <v>0</v>
      </c>
      <c r="F257" s="36">
        <f>[257]Hoja1!$I$2</f>
        <v>1</v>
      </c>
      <c r="G257" s="36">
        <f>[257]Hoja1!$E$22</f>
        <v>0</v>
      </c>
      <c r="H257" s="36">
        <f>[257]Hoja1!$H$22</f>
        <v>3</v>
      </c>
      <c r="I257" s="36">
        <f t="shared" si="3"/>
        <v>3</v>
      </c>
      <c r="J257" s="37">
        <f>MAX([257]Hoja1!$A$5:$A$22)</f>
        <v>44043</v>
      </c>
      <c r="K257" s="38" t="str">
        <f>IF(ISTEXT([257]Hoja1!$A$23),[257]Hoja1!$A$23,"")</f>
        <v>hay muestras "B" ver cant</v>
      </c>
    </row>
    <row r="258" spans="2:11" x14ac:dyDescent="0.45">
      <c r="B258" s="39" t="s">
        <v>297</v>
      </c>
      <c r="C258" s="35" t="str">
        <f>[258]Hoja1!$A$1</f>
        <v>570-33360I050</v>
      </c>
      <c r="D258" s="36" t="str">
        <f>[258]Hoja1!$C$1</f>
        <v>conjunto piston TR</v>
      </c>
      <c r="E258" s="36">
        <f>[258]Hoja1!$I$1</f>
        <v>0</v>
      </c>
      <c r="F258" s="36">
        <f>[258]Hoja1!$I$2</f>
        <v>1</v>
      </c>
      <c r="G258" s="36">
        <f>[258]Hoja1!$E$22</f>
        <v>0</v>
      </c>
      <c r="H258" s="36">
        <f>[258]Hoja1!$H$22</f>
        <v>5</v>
      </c>
      <c r="I258" s="36">
        <f t="shared" si="3"/>
        <v>5</v>
      </c>
      <c r="J258" s="37">
        <f>MAX([258]Hoja1!$A$5:$A$22)</f>
        <v>44043</v>
      </c>
      <c r="K258" s="38" t="str">
        <f>IF(ISTEXT([258]Hoja1!$A$23),[258]Hoja1!$A$23,"")</f>
        <v>hay muestras "B" ver cant</v>
      </c>
    </row>
    <row r="259" spans="2:11" x14ac:dyDescent="0.45">
      <c r="B259" s="39" t="s">
        <v>298</v>
      </c>
      <c r="C259" s="35" t="str">
        <f>[259]Hoja1!$A$1</f>
        <v>570-33360I100</v>
      </c>
      <c r="D259" s="36" t="str">
        <f>[259]Hoja1!$C$1</f>
        <v>conjunto piston TR</v>
      </c>
      <c r="E259" s="36">
        <f>[259]Hoja1!$I$1</f>
        <v>0</v>
      </c>
      <c r="F259" s="36">
        <f>[259]Hoja1!$I$2</f>
        <v>1</v>
      </c>
      <c r="G259" s="36">
        <f>[259]Hoja1!$E$22</f>
        <v>0</v>
      </c>
      <c r="H259" s="36">
        <f>[259]Hoja1!$H$22</f>
        <v>5</v>
      </c>
      <c r="I259" s="36">
        <f t="shared" ref="I259:I322" si="4">SUM(G259:H259)</f>
        <v>5</v>
      </c>
      <c r="J259" s="37">
        <f>MAX([259]Hoja1!$A$5:$A$22)</f>
        <v>44043</v>
      </c>
      <c r="K259" s="38" t="str">
        <f>IF(ISTEXT([259]Hoja1!$A$23),[259]Hoja1!$A$23,"")</f>
        <v>hay muestras "B" ver cant</v>
      </c>
    </row>
    <row r="260" spans="2:11" x14ac:dyDescent="0.45">
      <c r="B260" s="39" t="s">
        <v>299</v>
      </c>
      <c r="C260" s="35" t="str">
        <f>[260]Hoja1!$A$1</f>
        <v>570-33370I</v>
      </c>
      <c r="D260" s="36" t="str">
        <f>[260]Hoja1!$C$1</f>
        <v>juego de aros TR</v>
      </c>
      <c r="E260" s="36">
        <f>[260]Hoja1!$I$1</f>
        <v>0</v>
      </c>
      <c r="F260" s="36">
        <f>[260]Hoja1!$I$2</f>
        <v>1</v>
      </c>
      <c r="G260" s="36">
        <f>[260]Hoja1!$E$22</f>
        <v>0</v>
      </c>
      <c r="H260" s="36">
        <f>[260]Hoja1!$H$22</f>
        <v>7</v>
      </c>
      <c r="I260" s="36">
        <f t="shared" si="4"/>
        <v>7</v>
      </c>
      <c r="J260" s="37">
        <f>MAX([260]Hoja1!$A$5:$A$22)</f>
        <v>44116</v>
      </c>
      <c r="K260" s="38" t="str">
        <f>IF(ISTEXT([260]Hoja1!$A$23),[260]Hoja1!$A$23,"")</f>
        <v/>
      </c>
    </row>
    <row r="261" spans="2:11" x14ac:dyDescent="0.45">
      <c r="B261" s="39" t="s">
        <v>300</v>
      </c>
      <c r="C261" s="35" t="str">
        <f>[261]Hoja1!$A$1</f>
        <v>570-33370I025</v>
      </c>
      <c r="D261" s="36" t="str">
        <f>[261]Hoja1!$C$1</f>
        <v>juego de aros TR</v>
      </c>
      <c r="E261" s="36">
        <f>[261]Hoja1!$I$1</f>
        <v>0</v>
      </c>
      <c r="F261" s="36">
        <f>[261]Hoja1!$I$2</f>
        <v>1</v>
      </c>
      <c r="G261" s="36">
        <f>[261]Hoja1!$E$22</f>
        <v>0</v>
      </c>
      <c r="H261" s="36">
        <f>[261]Hoja1!$H$22</f>
        <v>6</v>
      </c>
      <c r="I261" s="36">
        <f t="shared" si="4"/>
        <v>6</v>
      </c>
      <c r="J261" s="37">
        <f>MAX([261]Hoja1!$A$5:$A$22)</f>
        <v>44043</v>
      </c>
      <c r="K261" s="38" t="str">
        <f>IF(ISTEXT([261]Hoja1!$A$23),[261]Hoja1!$A$23,"")</f>
        <v/>
      </c>
    </row>
    <row r="262" spans="2:11" x14ac:dyDescent="0.45">
      <c r="B262" s="39" t="s">
        <v>301</v>
      </c>
      <c r="C262" s="35" t="str">
        <f>[262]Hoja1!$A$1</f>
        <v>570-33370I050</v>
      </c>
      <c r="D262" s="36" t="str">
        <f>[262]Hoja1!$C$1</f>
        <v>juego de aros TR</v>
      </c>
      <c r="E262" s="36">
        <f>[262]Hoja1!$I$1</f>
        <v>0</v>
      </c>
      <c r="F262" s="36">
        <f>[262]Hoja1!$I$2</f>
        <v>1</v>
      </c>
      <c r="G262" s="36">
        <f>[262]Hoja1!$E$22</f>
        <v>0</v>
      </c>
      <c r="H262" s="36">
        <f>[262]Hoja1!$H$22</f>
        <v>11</v>
      </c>
      <c r="I262" s="36">
        <f t="shared" si="4"/>
        <v>11</v>
      </c>
      <c r="J262" s="37">
        <f>MAX([262]Hoja1!$A$5:$A$22)</f>
        <v>44116</v>
      </c>
      <c r="K262" s="38" t="str">
        <f>IF(ISTEXT([262]Hoja1!$A$23),[262]Hoja1!$A$23,"")</f>
        <v/>
      </c>
    </row>
    <row r="263" spans="2:11" x14ac:dyDescent="0.45">
      <c r="B263" s="39" t="s">
        <v>302</v>
      </c>
      <c r="C263" s="35" t="str">
        <f>[263]Hoja1!$A$1</f>
        <v>570-33370I100</v>
      </c>
      <c r="D263" s="36" t="str">
        <f>[263]Hoja1!$C$1</f>
        <v>juego de aros TR</v>
      </c>
      <c r="E263" s="36">
        <f>[263]Hoja1!$I$1</f>
        <v>0</v>
      </c>
      <c r="F263" s="36">
        <f>[263]Hoja1!$I$2</f>
        <v>1</v>
      </c>
      <c r="G263" s="36">
        <f>[263]Hoja1!$E$22</f>
        <v>0</v>
      </c>
      <c r="H263" s="36">
        <f>[263]Hoja1!$H$22</f>
        <v>8</v>
      </c>
      <c r="I263" s="36">
        <f t="shared" si="4"/>
        <v>8</v>
      </c>
      <c r="J263" s="37">
        <f>MAX([263]Hoja1!$A$5:$A$22)</f>
        <v>44043</v>
      </c>
      <c r="K263" s="38" t="str">
        <f>IF(ISTEXT([263]Hoja1!$A$23),[263]Hoja1!$A$23,"")</f>
        <v/>
      </c>
    </row>
    <row r="264" spans="2:11" x14ac:dyDescent="0.45">
      <c r="B264" s="39" t="s">
        <v>303</v>
      </c>
      <c r="C264" s="35" t="str">
        <f>[264]Hoja1!$A$1</f>
        <v>570-34200I</v>
      </c>
      <c r="D264" s="36" t="str">
        <f>[264]Hoja1!$C$1</f>
        <v>swich alta temperatura N/C TR</v>
      </c>
      <c r="E264" s="36">
        <f>[264]Hoja1!$I$1</f>
        <v>0</v>
      </c>
      <c r="F264" s="36">
        <f>[264]Hoja1!$I$2</f>
        <v>1</v>
      </c>
      <c r="G264" s="36">
        <f>[264]Hoja1!$E$22</f>
        <v>2</v>
      </c>
      <c r="H264" s="36">
        <f>[264]Hoja1!$H$22</f>
        <v>1</v>
      </c>
      <c r="I264" s="36">
        <f t="shared" si="4"/>
        <v>3</v>
      </c>
      <c r="J264" s="37">
        <f>MAX([264]Hoja1!$A$5:$A$22)</f>
        <v>44056</v>
      </c>
      <c r="K264" s="38" t="str">
        <f>IF(ISTEXT([264]Hoja1!$A$23),[264]Hoja1!$A$23,"")</f>
        <v>hay opcion nacional que corta a menor temp</v>
      </c>
    </row>
    <row r="265" spans="2:11" x14ac:dyDescent="0.45">
      <c r="B265" s="45" t="s">
        <v>304</v>
      </c>
      <c r="C265" s="35" t="str">
        <f>[265]Hoja1!$A$1</f>
        <v>570-35530</v>
      </c>
      <c r="D265" s="36" t="str">
        <f>[265]Hoja1!$C$1</f>
        <v>conjunto cilindo-piston TR</v>
      </c>
      <c r="E265" s="36">
        <f>[265]Hoja1!$I$1</f>
        <v>0</v>
      </c>
      <c r="F265" s="36">
        <f>[265]Hoja1!$I$2</f>
        <v>1</v>
      </c>
      <c r="G265" s="36">
        <f>[265]Hoja1!$E$22</f>
        <v>2</v>
      </c>
      <c r="H265" s="36">
        <f>[265]Hoja1!$H$22</f>
        <v>0</v>
      </c>
      <c r="I265" s="36">
        <f t="shared" si="4"/>
        <v>2</v>
      </c>
      <c r="J265" s="37">
        <f>MAX([265]Hoja1!$A$5:$A$22)</f>
        <v>44103</v>
      </c>
      <c r="K265" s="38" t="str">
        <f>IF(ISTEXT([265]Hoja1!$A$23),[265]Hoja1!$A$23,"")</f>
        <v/>
      </c>
    </row>
    <row r="266" spans="2:11" x14ac:dyDescent="0.45">
      <c r="B266" s="39" t="s">
        <v>305</v>
      </c>
      <c r="C266" s="35" t="str">
        <f>[266]Hoja1!$A$1</f>
        <v>570-36820I</v>
      </c>
      <c r="D266" s="36" t="str">
        <f>[266]Hoja1!$C$1</f>
        <v>switch alta temperatura  TR N/A</v>
      </c>
      <c r="E266" s="36">
        <f>[266]Hoja1!$I$1</f>
        <v>0</v>
      </c>
      <c r="F266" s="36">
        <f>[266]Hoja1!$I$2</f>
        <v>1</v>
      </c>
      <c r="G266" s="36">
        <f>[266]Hoja1!$E$22</f>
        <v>0</v>
      </c>
      <c r="H266" s="36">
        <f>[266]Hoja1!$H$22</f>
        <v>3</v>
      </c>
      <c r="I266" s="36">
        <f t="shared" si="4"/>
        <v>3</v>
      </c>
      <c r="J266" s="37">
        <f>MAX([266]Hoja1!$A$5:$A$22)</f>
        <v>44043</v>
      </c>
      <c r="K266" s="38" t="str">
        <f>IF(ISTEXT([266]Hoja1!$A$23),[266]Hoja1!$A$23,"")</f>
        <v/>
      </c>
    </row>
    <row r="267" spans="2:11" x14ac:dyDescent="0.45">
      <c r="B267" s="45" t="s">
        <v>306</v>
      </c>
      <c r="C267" s="35" t="str">
        <f>[267]Hoja1!$A$1</f>
        <v>574-10130B</v>
      </c>
      <c r="D267" s="36" t="str">
        <f>[267]Hoja1!$C$1</f>
        <v>bomba de aceite</v>
      </c>
      <c r="E267" s="36">
        <f>[267]Hoja1!$I$1</f>
        <v>0</v>
      </c>
      <c r="F267" s="36">
        <f>[267]Hoja1!$I$2</f>
        <v>1</v>
      </c>
      <c r="G267" s="36">
        <f>[267]Hoja1!$E$22</f>
        <v>0</v>
      </c>
      <c r="H267" s="36">
        <f>[267]Hoja1!$H$22</f>
        <v>0</v>
      </c>
      <c r="I267" s="36">
        <f t="shared" si="4"/>
        <v>0</v>
      </c>
      <c r="J267" s="37">
        <f>MAX([267]Hoja1!$A$5:$A$22)</f>
        <v>44043</v>
      </c>
      <c r="K267" s="38" t="str">
        <f>IF(ISTEXT([267]Hoja1!$A$23),[267]Hoja1!$A$23,"")</f>
        <v>mas 61 B</v>
      </c>
    </row>
    <row r="268" spans="2:11" x14ac:dyDescent="0.45">
      <c r="B268" s="45" t="s">
        <v>307</v>
      </c>
      <c r="C268" s="35" t="str">
        <f>[268]Hoja1!$A$1</f>
        <v>574-10130KR</v>
      </c>
      <c r="D268" s="36" t="str">
        <f>[268]Hoja1!$C$1</f>
        <v>kit reparacion bba de aceite  LL</v>
      </c>
      <c r="E268" s="36">
        <f>[268]Hoja1!$I$1</f>
        <v>0</v>
      </c>
      <c r="F268" s="36">
        <f>[268]Hoja1!$I$2</f>
        <v>1</v>
      </c>
      <c r="G268" s="36">
        <f>[268]Hoja1!$E$22</f>
        <v>3</v>
      </c>
      <c r="H268" s="36">
        <f>[268]Hoja1!$H$22</f>
        <v>0</v>
      </c>
      <c r="I268" s="36">
        <f t="shared" si="4"/>
        <v>3</v>
      </c>
      <c r="J268" s="37">
        <f>MAX([268]Hoja1!$A$5:$A$22)</f>
        <v>44053</v>
      </c>
      <c r="K268" s="38" t="str">
        <f>IF(ISTEXT([268]Hoja1!$A$23),[268]Hoja1!$A$23,"")</f>
        <v>mas 61 B</v>
      </c>
    </row>
    <row r="269" spans="2:11" x14ac:dyDescent="0.45">
      <c r="B269" s="39" t="s">
        <v>308</v>
      </c>
      <c r="C269" s="35" t="str">
        <f>[269]Hoja1!$A$1</f>
        <v>574-10170B</v>
      </c>
      <c r="D269" s="36" t="str">
        <f>[269]Hoja1!$C$1</f>
        <v>balancin con buje LL</v>
      </c>
      <c r="E269" s="36">
        <f>[269]Hoja1!$I$1</f>
        <v>0</v>
      </c>
      <c r="F269" s="36">
        <f>[269]Hoja1!$I$2</f>
        <v>1</v>
      </c>
      <c r="G269" s="36">
        <f>[269]Hoja1!$E$22</f>
        <v>-2</v>
      </c>
      <c r="H269" s="36">
        <f>[269]Hoja1!$H$22</f>
        <v>4</v>
      </c>
      <c r="I269" s="36">
        <f t="shared" si="4"/>
        <v>2</v>
      </c>
      <c r="J269" s="37">
        <f>MAX([269]Hoja1!$A$5:$A$22)</f>
        <v>44074</v>
      </c>
      <c r="K269" s="38" t="str">
        <f>IF(ISTEXT([269]Hoja1!$A$23),[269]Hoja1!$A$23,"")</f>
        <v>ver conjunto completos  y balancines ex CKD</v>
      </c>
    </row>
    <row r="270" spans="2:11" x14ac:dyDescent="0.45">
      <c r="B270" s="39" t="s">
        <v>309</v>
      </c>
      <c r="C270" s="35" t="str">
        <f>[270]Hoja1!$A$1</f>
        <v>574-10200</v>
      </c>
      <c r="D270" s="36" t="str">
        <f>[270]Hoja1!$C$1</f>
        <v>biela LL</v>
      </c>
      <c r="E270" s="36">
        <f>[270]Hoja1!$I$1</f>
        <v>0</v>
      </c>
      <c r="F270" s="36">
        <f>[270]Hoja1!$I$2</f>
        <v>1</v>
      </c>
      <c r="G270" s="36">
        <f>[270]Hoja1!$E$22</f>
        <v>0</v>
      </c>
      <c r="H270" s="36">
        <f>[270]Hoja1!$H$22</f>
        <v>0</v>
      </c>
      <c r="I270" s="36">
        <f t="shared" si="4"/>
        <v>0</v>
      </c>
      <c r="J270" s="37">
        <f>MAX([270]Hoja1!$A$5:$A$22)</f>
        <v>44043</v>
      </c>
      <c r="K270" s="38" t="str">
        <f>IF(ISTEXT([270]Hoja1!$A$23),[270]Hoja1!$A$23,"")</f>
        <v>ver usadas  si hay disponibles</v>
      </c>
    </row>
    <row r="271" spans="2:11" x14ac:dyDescent="0.45">
      <c r="B271" s="45" t="s">
        <v>310</v>
      </c>
      <c r="C271" s="35" t="str">
        <f>[271]Hoja1!$A$1</f>
        <v>574-10320/010</v>
      </c>
      <c r="D271" s="36" t="str">
        <f>[271]Hoja1!$C$1</f>
        <v xml:space="preserve"> cojinete de biela 010  LL</v>
      </c>
      <c r="E271" s="36">
        <f>[271]Hoja1!$I$1</f>
        <v>0</v>
      </c>
      <c r="F271" s="36">
        <f>[271]Hoja1!$I$2</f>
        <v>1</v>
      </c>
      <c r="G271" s="36">
        <f>[271]Hoja1!$E$22</f>
        <v>0</v>
      </c>
      <c r="H271" s="36">
        <f>[271]Hoja1!$H$22</f>
        <v>2</v>
      </c>
      <c r="I271" s="36">
        <f t="shared" si="4"/>
        <v>2</v>
      </c>
      <c r="J271" s="37">
        <f>MAX([271]Hoja1!$A$5:$A$22)</f>
        <v>44043</v>
      </c>
      <c r="K271" s="38" t="str">
        <f>IF(ISTEXT([271]Hoja1!$A$23),[271]Hoja1!$A$23,"")</f>
        <v xml:space="preserve">mas 2 raros </v>
      </c>
    </row>
    <row r="272" spans="2:11" x14ac:dyDescent="0.45">
      <c r="B272" s="45" t="s">
        <v>311</v>
      </c>
      <c r="C272" s="35" t="str">
        <f>[272]Hoja1!$A$1</f>
        <v>574-10320-020</v>
      </c>
      <c r="D272" s="36" t="str">
        <f>[272]Hoja1!$C$1</f>
        <v xml:space="preserve"> cojinete de biela 020  LL</v>
      </c>
      <c r="E272" s="36">
        <f>[272]Hoja1!$I$1</f>
        <v>0</v>
      </c>
      <c r="F272" s="36">
        <f>[272]Hoja1!$I$2</f>
        <v>1</v>
      </c>
      <c r="G272" s="36">
        <f>[272]Hoja1!$E$22</f>
        <v>0</v>
      </c>
      <c r="H272" s="36">
        <f>[272]Hoja1!$H$22</f>
        <v>1</v>
      </c>
      <c r="I272" s="36">
        <f t="shared" si="4"/>
        <v>1</v>
      </c>
      <c r="J272" s="37">
        <f>MAX([272]Hoja1!$A$5:$A$22)</f>
        <v>44043</v>
      </c>
      <c r="K272" s="38" t="str">
        <f>IF(ISTEXT([272]Hoja1!$A$23),[272]Hoja1!$A$23,"")</f>
        <v xml:space="preserve">mas 1 de taller </v>
      </c>
    </row>
    <row r="273" spans="2:11" x14ac:dyDescent="0.45">
      <c r="B273" s="45" t="s">
        <v>312</v>
      </c>
      <c r="C273" s="35" t="str">
        <f>[273]Hoja1!$A$1</f>
        <v>574-10320-030</v>
      </c>
      <c r="D273" s="36" t="str">
        <f>[273]Hoja1!$C$1</f>
        <v xml:space="preserve"> cojinete de biela 030  LL</v>
      </c>
      <c r="E273" s="36">
        <f>[273]Hoja1!$I$1</f>
        <v>0</v>
      </c>
      <c r="F273" s="36">
        <f>[273]Hoja1!$I$2</f>
        <v>1</v>
      </c>
      <c r="G273" s="36">
        <f>[273]Hoja1!$E$22</f>
        <v>0</v>
      </c>
      <c r="H273" s="36">
        <f>[273]Hoja1!$H$22</f>
        <v>3</v>
      </c>
      <c r="I273" s="36">
        <f t="shared" si="4"/>
        <v>3</v>
      </c>
      <c r="J273" s="37">
        <f>MAX([273]Hoja1!$A$5:$A$22)</f>
        <v>44043</v>
      </c>
      <c r="K273" s="38" t="str">
        <f>IF(ISTEXT([273]Hoja1!$A$23),[273]Hoja1!$A$23,"")</f>
        <v>mas 4 de taller + 2 miba</v>
      </c>
    </row>
    <row r="274" spans="2:11" x14ac:dyDescent="0.45">
      <c r="B274" s="45" t="s">
        <v>313</v>
      </c>
      <c r="C274" s="35" t="str">
        <f>[274]Hoja1!$A$1</f>
        <v>574-10320I40</v>
      </c>
      <c r="D274" s="36" t="str">
        <f>[274]Hoja1!$C$1</f>
        <v xml:space="preserve"> cojinete de biela 040  LL</v>
      </c>
      <c r="E274" s="36">
        <f>[274]Hoja1!$I$1</f>
        <v>0</v>
      </c>
      <c r="F274" s="36">
        <f>[274]Hoja1!$I$2</f>
        <v>1</v>
      </c>
      <c r="G274" s="36">
        <f>[274]Hoja1!$E$22</f>
        <v>0</v>
      </c>
      <c r="H274" s="36">
        <f>[274]Hoja1!$H$22</f>
        <v>0</v>
      </c>
      <c r="I274" s="36">
        <f t="shared" si="4"/>
        <v>0</v>
      </c>
      <c r="J274" s="37">
        <f>MAX([274]Hoja1!$A$5:$A$22)</f>
        <v>44043</v>
      </c>
      <c r="K274" s="38" t="str">
        <f>IF(ISTEXT([274]Hoja1!$A$23),[274]Hoja1!$A$23,"")</f>
        <v/>
      </c>
    </row>
    <row r="275" spans="2:11" x14ac:dyDescent="0.45">
      <c r="B275" s="39" t="s">
        <v>314</v>
      </c>
      <c r="C275" s="35" t="str">
        <f>[275]Hoja1!$A$1</f>
        <v>574-10320</v>
      </c>
      <c r="D275" s="36" t="str">
        <f>[275]Hoja1!$C$1</f>
        <v xml:space="preserve"> cojinete de biela std  LL</v>
      </c>
      <c r="E275" s="36">
        <f>[275]Hoja1!$I$1</f>
        <v>0</v>
      </c>
      <c r="F275" s="36">
        <f>[275]Hoja1!$I$2</f>
        <v>1</v>
      </c>
      <c r="G275" s="36">
        <f>[275]Hoja1!$E$22</f>
        <v>40</v>
      </c>
      <c r="H275" s="36">
        <f>[275]Hoja1!$H$22</f>
        <v>6</v>
      </c>
      <c r="I275" s="36">
        <f t="shared" si="4"/>
        <v>46</v>
      </c>
      <c r="J275" s="37">
        <f>MAX([275]Hoja1!$A$5:$A$22)</f>
        <v>44043</v>
      </c>
      <c r="K275" s="38" t="str">
        <f>IF(ISTEXT([275]Hoja1!$A$23),[275]Hoja1!$A$23,"")</f>
        <v/>
      </c>
    </row>
    <row r="276" spans="2:11" x14ac:dyDescent="0.45">
      <c r="B276" s="45" t="s">
        <v>315</v>
      </c>
      <c r="C276" s="35" t="str">
        <f>[276]Hoja1!$A$1</f>
        <v>574-10320I10</v>
      </c>
      <c r="D276" s="36" t="str">
        <f>[276]Hoja1!$C$1</f>
        <v xml:space="preserve"> cojinete de biela 010 RAL  LL</v>
      </c>
      <c r="E276" s="36">
        <f>[276]Hoja1!$I$1</f>
        <v>0</v>
      </c>
      <c r="F276" s="36">
        <f>[276]Hoja1!$I$2</f>
        <v>1</v>
      </c>
      <c r="G276" s="36">
        <f>[276]Hoja1!$E$22</f>
        <v>0</v>
      </c>
      <c r="H276" s="36">
        <f>[276]Hoja1!$H$22</f>
        <v>9</v>
      </c>
      <c r="I276" s="36">
        <f t="shared" si="4"/>
        <v>9</v>
      </c>
      <c r="J276" s="37">
        <f>MAX([276]Hoja1!$A$5:$A$22)</f>
        <v>44043</v>
      </c>
      <c r="K276" s="38" t="str">
        <f>IF(ISTEXT([276]Hoja1!$A$23),[276]Hoja1!$A$23,"")</f>
        <v/>
      </c>
    </row>
    <row r="277" spans="2:11" x14ac:dyDescent="0.45">
      <c r="B277" s="45" t="s">
        <v>316</v>
      </c>
      <c r="C277" s="35" t="str">
        <f>[277]Hoja1!$A$1</f>
        <v>574-10320I20</v>
      </c>
      <c r="D277" s="36" t="str">
        <f>[277]Hoja1!$C$1</f>
        <v xml:space="preserve"> cojinete de biela 020 RAL LL</v>
      </c>
      <c r="E277" s="36">
        <f>[277]Hoja1!$I$1</f>
        <v>0</v>
      </c>
      <c r="F277" s="36">
        <f>[277]Hoja1!$I$2</f>
        <v>1</v>
      </c>
      <c r="G277" s="36">
        <f>[277]Hoja1!$E$22</f>
        <v>0</v>
      </c>
      <c r="H277" s="36">
        <f>[277]Hoja1!$H$22</f>
        <v>3</v>
      </c>
      <c r="I277" s="36">
        <f t="shared" si="4"/>
        <v>3</v>
      </c>
      <c r="J277" s="37">
        <f>MAX([277]Hoja1!$A$5:$A$22)</f>
        <v>44043</v>
      </c>
      <c r="K277" s="38" t="str">
        <f>IF(ISTEXT([277]Hoja1!$A$23),[277]Hoja1!$A$23,"")</f>
        <v/>
      </c>
    </row>
    <row r="278" spans="2:11" x14ac:dyDescent="0.45">
      <c r="B278" s="39" t="s">
        <v>317</v>
      </c>
      <c r="C278" s="35" t="str">
        <f>[278]Hoja1!$A$1</f>
        <v>574-10320I30</v>
      </c>
      <c r="D278" s="36" t="str">
        <f>[278]Hoja1!$C$1</f>
        <v xml:space="preserve"> cojinete de biela 030 RAL LL</v>
      </c>
      <c r="E278" s="36">
        <f>[278]Hoja1!$I$1</f>
        <v>0</v>
      </c>
      <c r="F278" s="36">
        <f>[278]Hoja1!$I$2</f>
        <v>1</v>
      </c>
      <c r="G278" s="36">
        <f>[278]Hoja1!$E$22</f>
        <v>0</v>
      </c>
      <c r="H278" s="36">
        <f>[278]Hoja1!$H$22</f>
        <v>11</v>
      </c>
      <c r="I278" s="36">
        <f t="shared" si="4"/>
        <v>11</v>
      </c>
      <c r="J278" s="37">
        <f>MAX([278]Hoja1!$A$5:$A$22)</f>
        <v>44043</v>
      </c>
      <c r="K278" s="38" t="str">
        <f>IF(ISTEXT([278]Hoja1!$A$23),[278]Hoja1!$A$23,"")</f>
        <v/>
      </c>
    </row>
    <row r="279" spans="2:11" x14ac:dyDescent="0.45">
      <c r="B279" s="45" t="s">
        <v>318</v>
      </c>
      <c r="C279" s="35" t="str">
        <f>[279]Hoja1!$A$1</f>
        <v>574-10430 B</v>
      </c>
      <c r="D279" s="36" t="str">
        <f>[279]Hoja1!$C$1</f>
        <v>palanca interior  LL (B)</v>
      </c>
      <c r="E279" s="36">
        <f>[279]Hoja1!$I$1</f>
        <v>0</v>
      </c>
      <c r="F279" s="36">
        <f>[279]Hoja1!$I$2</f>
        <v>1</v>
      </c>
      <c r="G279" s="36">
        <f>[279]Hoja1!$E$22</f>
        <v>0</v>
      </c>
      <c r="H279" s="36">
        <f>[279]Hoja1!$H$22</f>
        <v>139</v>
      </c>
      <c r="I279" s="36">
        <f t="shared" si="4"/>
        <v>139</v>
      </c>
      <c r="J279" s="37">
        <f>MAX([279]Hoja1!$A$5:$A$22)</f>
        <v>44043</v>
      </c>
      <c r="K279" s="38" t="str">
        <f>IF(ISTEXT([279]Hoja1!$A$23),[279]Hoja1!$A$23,"")</f>
        <v>mas 1 ind arg  (muestra)</v>
      </c>
    </row>
    <row r="280" spans="2:11" x14ac:dyDescent="0.45">
      <c r="B280" s="45" t="s">
        <v>319</v>
      </c>
      <c r="C280" s="35" t="str">
        <f>[280]Hoja1!$A$1</f>
        <v>574-10950 B</v>
      </c>
      <c r="D280" s="36" t="str">
        <f>[280]Hoja1!$C$1</f>
        <v>silenciador  LL (B)</v>
      </c>
      <c r="E280" s="36">
        <f>[280]Hoja1!$I$1</f>
        <v>0</v>
      </c>
      <c r="F280" s="36">
        <f>[280]Hoja1!$I$2</f>
        <v>1</v>
      </c>
      <c r="G280" s="36">
        <f>[280]Hoja1!$E$22</f>
        <v>0</v>
      </c>
      <c r="H280" s="36">
        <f>[280]Hoja1!$H$22</f>
        <v>4</v>
      </c>
      <c r="I280" s="36">
        <f t="shared" si="4"/>
        <v>4</v>
      </c>
      <c r="J280" s="37">
        <f>MAX([280]Hoja1!$A$5:$A$22)</f>
        <v>44098</v>
      </c>
      <c r="K280" s="38" t="str">
        <f>IF(ISTEXT([280]Hoja1!$A$23),[280]Hoja1!$A$23,"")</f>
        <v>24/09son uno grande y dos chicos tipo carcaza de ST</v>
      </c>
    </row>
    <row r="281" spans="2:11" x14ac:dyDescent="0.45">
      <c r="B281" s="45" t="s">
        <v>320</v>
      </c>
      <c r="C281" s="35" t="str">
        <f>[281]Hoja1!$A$1</f>
        <v>574-10990/020</v>
      </c>
      <c r="D281" s="36" t="str">
        <f>[281]Hoja1!$C$1</f>
        <v>juego de aros 020 LL</v>
      </c>
      <c r="E281" s="36">
        <f>[281]Hoja1!$I$1</f>
        <v>0</v>
      </c>
      <c r="F281" s="36">
        <f>[281]Hoja1!$I$2</f>
        <v>1</v>
      </c>
      <c r="G281" s="36">
        <f>[281]Hoja1!$E$22</f>
        <v>15</v>
      </c>
      <c r="H281" s="36">
        <f>[281]Hoja1!$H$22</f>
        <v>1</v>
      </c>
      <c r="I281" s="36">
        <f t="shared" si="4"/>
        <v>16</v>
      </c>
      <c r="J281" s="37">
        <f>MAX([281]Hoja1!$A$5:$A$22)</f>
        <v>44043</v>
      </c>
      <c r="K281" s="38" t="str">
        <f>IF(ISTEXT([281]Hoja1!$A$23),[281]Hoja1!$A$23,"")</f>
        <v>REVISAR CANT</v>
      </c>
    </row>
    <row r="282" spans="2:11" x14ac:dyDescent="0.45">
      <c r="B282" s="45" t="s">
        <v>321</v>
      </c>
      <c r="C282" s="35" t="str">
        <f>[282]Hoja1!$A$1</f>
        <v>574-10990/040</v>
      </c>
      <c r="D282" s="36" t="str">
        <f>[282]Hoja1!$C$1</f>
        <v>juego de aros 040 LL</v>
      </c>
      <c r="E282" s="36">
        <f>[282]Hoja1!$I$1</f>
        <v>0</v>
      </c>
      <c r="F282" s="36">
        <f>[282]Hoja1!$I$2</f>
        <v>1</v>
      </c>
      <c r="G282" s="36">
        <f>[282]Hoja1!$E$22</f>
        <v>15</v>
      </c>
      <c r="H282" s="36">
        <f>[282]Hoja1!$H$22</f>
        <v>1</v>
      </c>
      <c r="I282" s="36">
        <f t="shared" si="4"/>
        <v>16</v>
      </c>
      <c r="J282" s="37">
        <f>MAX([282]Hoja1!$A$5:$A$22)</f>
        <v>44043</v>
      </c>
      <c r="K282" s="38" t="str">
        <f>IF(ISTEXT([282]Hoja1!$A$23),[282]Hoja1!$A$23,"")</f>
        <v>REVISAR CANT</v>
      </c>
    </row>
    <row r="283" spans="2:11" x14ac:dyDescent="0.45">
      <c r="B283" s="39" t="s">
        <v>322</v>
      </c>
      <c r="C283" s="35" t="str">
        <f>[283]Hoja1!$A$1</f>
        <v>574-10990</v>
      </c>
      <c r="D283" s="36" t="str">
        <f>[283]Hoja1!$C$1</f>
        <v>juego de aros std LL</v>
      </c>
      <c r="E283" s="36">
        <f>[283]Hoja1!$I$1</f>
        <v>0</v>
      </c>
      <c r="F283" s="36">
        <f>[283]Hoja1!$I$2</f>
        <v>1</v>
      </c>
      <c r="G283" s="36">
        <f>[283]Hoja1!$E$22</f>
        <v>12</v>
      </c>
      <c r="H283" s="36">
        <f>[283]Hoja1!$H$22</f>
        <v>1</v>
      </c>
      <c r="I283" s="36">
        <f t="shared" si="4"/>
        <v>13</v>
      </c>
      <c r="J283" s="37">
        <f>MAX([283]Hoja1!$A$5:$A$22)</f>
        <v>44091</v>
      </c>
      <c r="K283" s="38" t="str">
        <f>IF(ISTEXT([283]Hoja1!$A$23),[283]Hoja1!$A$23,"")</f>
        <v>REVISAR CANT</v>
      </c>
    </row>
    <row r="284" spans="2:11" x14ac:dyDescent="0.45">
      <c r="B284" s="45" t="s">
        <v>323</v>
      </c>
      <c r="C284" s="35" t="str">
        <f>[284]Hoja1!$A$1</f>
        <v>574-10990/020 RAL</v>
      </c>
      <c r="D284" s="36" t="str">
        <f>[284]Hoja1!$C$1</f>
        <v>juego de aros 020 RAL LL</v>
      </c>
      <c r="E284" s="36">
        <f>[284]Hoja1!$I$1</f>
        <v>0</v>
      </c>
      <c r="F284" s="36">
        <f>[284]Hoja1!$I$2</f>
        <v>1</v>
      </c>
      <c r="G284" s="36">
        <f>[284]Hoja1!$E$22</f>
        <v>1</v>
      </c>
      <c r="H284" s="36">
        <f>[284]Hoja1!$H$22</f>
        <v>1</v>
      </c>
      <c r="I284" s="36">
        <f t="shared" si="4"/>
        <v>2</v>
      </c>
      <c r="J284" s="37">
        <f>MAX([284]Hoja1!$A$5:$A$22)</f>
        <v>44043</v>
      </c>
      <c r="K284" s="38" t="str">
        <f>IF(ISTEXT([284]Hoja1!$A$23),[284]Hoja1!$A$23,"")</f>
        <v>REVISAR CANT</v>
      </c>
    </row>
    <row r="285" spans="2:11" x14ac:dyDescent="0.45">
      <c r="B285" s="45" t="s">
        <v>324</v>
      </c>
      <c r="C285" s="35" t="str">
        <f>[285]Hoja1!$A$1</f>
        <v>574-10990/040 RAL</v>
      </c>
      <c r="D285" s="36" t="str">
        <f>[285]Hoja1!$C$1</f>
        <v>juego de aros 040 RAL LL</v>
      </c>
      <c r="E285" s="36">
        <f>[285]Hoja1!$I$1</f>
        <v>0</v>
      </c>
      <c r="F285" s="36">
        <f>[285]Hoja1!$I$2</f>
        <v>1</v>
      </c>
      <c r="G285" s="36">
        <f>[285]Hoja1!$E$22</f>
        <v>1</v>
      </c>
      <c r="H285" s="36">
        <f>[285]Hoja1!$H$22</f>
        <v>1</v>
      </c>
      <c r="I285" s="36">
        <f t="shared" si="4"/>
        <v>2</v>
      </c>
      <c r="J285" s="37">
        <f>MAX([285]Hoja1!$A$5:$A$22)</f>
        <v>44043</v>
      </c>
      <c r="K285" s="38" t="str">
        <f>IF(ISTEXT([285]Hoja1!$A$23),[285]Hoja1!$A$23,"")</f>
        <v>REVISAR CANT</v>
      </c>
    </row>
    <row r="286" spans="2:11" x14ac:dyDescent="0.45">
      <c r="B286" s="45" t="s">
        <v>325</v>
      </c>
      <c r="C286" s="35" t="str">
        <f>[286]Hoja1!$A$1</f>
        <v>574-111090 B</v>
      </c>
      <c r="D286" s="36" t="str">
        <f>[286]Hoja1!$C$1</f>
        <v>conjunto descompresor 16/2</v>
      </c>
      <c r="E286" s="36">
        <f>[286]Hoja1!$I$1</f>
        <v>0</v>
      </c>
      <c r="F286" s="36">
        <f>[286]Hoja1!$I$2</f>
        <v>1</v>
      </c>
      <c r="G286" s="36">
        <f>[286]Hoja1!$E$22</f>
        <v>0</v>
      </c>
      <c r="H286" s="36">
        <f>[286]Hoja1!$H$22</f>
        <v>22</v>
      </c>
      <c r="I286" s="36">
        <f t="shared" si="4"/>
        <v>22</v>
      </c>
      <c r="J286" s="37">
        <f>MAX([286]Hoja1!$A$5:$A$22)</f>
        <v>44043</v>
      </c>
      <c r="K286" s="38" t="str">
        <f>IF(ISTEXT([286]Hoja1!$A$23),[286]Hoja1!$A$23,"")</f>
        <v/>
      </c>
    </row>
    <row r="287" spans="2:11" x14ac:dyDescent="0.45">
      <c r="B287" s="39" t="s">
        <v>326</v>
      </c>
      <c r="C287" s="35" t="str">
        <f>[287]Hoja1!$A$1</f>
        <v>574-11110</v>
      </c>
      <c r="D287" s="36" t="str">
        <f>[287]Hoja1!$C$1</f>
        <v>cabeza de cilindro  LL</v>
      </c>
      <c r="E287" s="36">
        <f>[287]Hoja1!$I$1</f>
        <v>0</v>
      </c>
      <c r="F287" s="36">
        <f>[287]Hoja1!$I$2</f>
        <v>1</v>
      </c>
      <c r="G287" s="36">
        <f>[287]Hoja1!$E$22</f>
        <v>0</v>
      </c>
      <c r="H287" s="36">
        <f>[287]Hoja1!$H$22</f>
        <v>3</v>
      </c>
      <c r="I287" s="36">
        <f t="shared" si="4"/>
        <v>3</v>
      </c>
      <c r="J287" s="37">
        <f>MAX([287]Hoja1!$A$5:$A$22)</f>
        <v>44043</v>
      </c>
      <c r="K287" s="38" t="str">
        <f>IF(ISTEXT([287]Hoja1!$A$23),[287]Hoja1!$A$23,"")</f>
        <v>con o sin gúias según pedido</v>
      </c>
    </row>
    <row r="288" spans="2:11" x14ac:dyDescent="0.45">
      <c r="B288" s="45" t="s">
        <v>327</v>
      </c>
      <c r="C288" s="35" t="str">
        <f>[288]Hoja1!$A$1</f>
        <v>574-11330 B</v>
      </c>
      <c r="D288" s="36" t="str">
        <f>[288]Hoja1!$C$1</f>
        <v>conjunto descompresor 8/1y 16/2</v>
      </c>
      <c r="E288" s="36">
        <f>[288]Hoja1!$I$1</f>
        <v>0</v>
      </c>
      <c r="F288" s="36">
        <f>[288]Hoja1!$I$2</f>
        <v>1</v>
      </c>
      <c r="G288" s="36">
        <f>[288]Hoja1!$E$22</f>
        <v>0</v>
      </c>
      <c r="H288" s="36">
        <f>[288]Hoja1!$H$22</f>
        <v>20</v>
      </c>
      <c r="I288" s="36">
        <f t="shared" si="4"/>
        <v>20</v>
      </c>
      <c r="J288" s="37">
        <f>MAX([288]Hoja1!$A$5:$A$22)</f>
        <v>44043</v>
      </c>
      <c r="K288" s="38" t="str">
        <f>IF(ISTEXT([288]Hoja1!$A$23),[288]Hoja1!$A$23,"")</f>
        <v/>
      </c>
    </row>
    <row r="289" spans="2:11" x14ac:dyDescent="0.45">
      <c r="B289" s="39" t="s">
        <v>328</v>
      </c>
      <c r="C289" s="35" t="str">
        <f>[289]Hoja1!$A$1</f>
        <v>601-31350A</v>
      </c>
      <c r="D289" s="36" t="str">
        <f>[289]Hoja1!$C$1</f>
        <v>filtro de aire LT/LV</v>
      </c>
      <c r="E289" s="36">
        <f>[289]Hoja1!$I$1</f>
        <v>0</v>
      </c>
      <c r="F289" s="36">
        <f>[289]Hoja1!$I$2</f>
        <v>1</v>
      </c>
      <c r="G289" s="36">
        <f>[289]Hoja1!$E$22</f>
        <v>4</v>
      </c>
      <c r="H289" s="36">
        <f>[289]Hoja1!$H$22</f>
        <v>6</v>
      </c>
      <c r="I289" s="36">
        <f t="shared" si="4"/>
        <v>10</v>
      </c>
      <c r="J289" s="37">
        <f>MAX([289]Hoja1!$A$5:$A$22)</f>
        <v>44043</v>
      </c>
      <c r="K289" s="38" t="str">
        <f>IF(ISTEXT([289]Hoja1!$A$23),[289]Hoja1!$A$23,"")</f>
        <v>hay  uno original - muestra</v>
      </c>
    </row>
    <row r="290" spans="2:11" x14ac:dyDescent="0.45">
      <c r="B290" s="39" t="s">
        <v>329</v>
      </c>
      <c r="C290" s="35" t="str">
        <f>[290]Hoja1!$A$1</f>
        <v>601-54480I</v>
      </c>
      <c r="D290" s="36" t="str">
        <f>[290]Hoja1!$C$1</f>
        <v>conjunto piston LV</v>
      </c>
      <c r="E290" s="36">
        <f>[290]Hoja1!$I$1</f>
        <v>0</v>
      </c>
      <c r="F290" s="36">
        <f>[290]Hoja1!$I$2</f>
        <v>1</v>
      </c>
      <c r="G290" s="36">
        <f>[290]Hoja1!$E$22</f>
        <v>4</v>
      </c>
      <c r="H290" s="36">
        <f>[290]Hoja1!$H$22</f>
        <v>6</v>
      </c>
      <c r="I290" s="36">
        <f t="shared" si="4"/>
        <v>10</v>
      </c>
      <c r="J290" s="37">
        <f>MAX([290]Hoja1!$A$5:$A$22)</f>
        <v>44043</v>
      </c>
      <c r="K290" s="38" t="str">
        <f>IF(ISTEXT([290]Hoja1!$A$23),[290]Hoja1!$A$23,"")</f>
        <v>hay  uno original - muestra</v>
      </c>
    </row>
    <row r="291" spans="2:11" x14ac:dyDescent="0.45">
      <c r="B291" s="39" t="s">
        <v>330</v>
      </c>
      <c r="C291" s="35" t="str">
        <f>[291]Hoja1!$A$1</f>
        <v>602-41760A</v>
      </c>
      <c r="D291" s="36" t="str">
        <f>[291]Hoja1!$C$1</f>
        <v>elem filtro aire con 5,25" con aletas LPW</v>
      </c>
      <c r="E291" s="36">
        <f>[291]Hoja1!$I$1</f>
        <v>0</v>
      </c>
      <c r="F291" s="36">
        <f>[291]Hoja1!$I$2</f>
        <v>1</v>
      </c>
      <c r="G291" s="36">
        <f>[291]Hoja1!$E$22</f>
        <v>0</v>
      </c>
      <c r="H291" s="36">
        <f>[291]Hoja1!$H$22</f>
        <v>7</v>
      </c>
      <c r="I291" s="36">
        <f t="shared" si="4"/>
        <v>7</v>
      </c>
      <c r="J291" s="37">
        <f>MAX([291]Hoja1!$A$5:$A$22)</f>
        <v>44098</v>
      </c>
      <c r="K291" s="38" t="str">
        <f>IF(ISTEXT([291]Hoja1!$A$23),[291]Hoja1!$A$23,"")</f>
        <v>sin aplicación - no hay pistones 010 en uso</v>
      </c>
    </row>
    <row r="292" spans="2:11" x14ac:dyDescent="0.45">
      <c r="B292" s="39" t="s">
        <v>331</v>
      </c>
      <c r="C292" s="35" t="str">
        <f>[292]Hoja1!$A$1</f>
        <v>657-10400</v>
      </c>
      <c r="D292" s="36" t="str">
        <f>[292]Hoja1!$C$1</f>
        <v>Jgo juntas desarb 8/1</v>
      </c>
      <c r="E292" s="36">
        <f>[292]Hoja1!$I$1</f>
        <v>0</v>
      </c>
      <c r="F292" s="36">
        <f>[292]Hoja1!$I$2</f>
        <v>1</v>
      </c>
      <c r="G292" s="36">
        <f>[292]Hoja1!$E$22</f>
        <v>8</v>
      </c>
      <c r="H292" s="36">
        <f>[292]Hoja1!$H$22</f>
        <v>0</v>
      </c>
      <c r="I292" s="36">
        <f t="shared" si="4"/>
        <v>8</v>
      </c>
      <c r="J292" s="37">
        <f>MAX([292]Hoja1!$A$5:$A$22)</f>
        <v>44122</v>
      </c>
      <c r="K292" s="38" t="str">
        <f>IF(ISTEXT([292]Hoja1!$A$23),[292]Hoja1!$A$23,"")</f>
        <v/>
      </c>
    </row>
    <row r="293" spans="2:11" x14ac:dyDescent="0.45">
      <c r="B293" s="39" t="s">
        <v>332</v>
      </c>
      <c r="C293" s="35" t="str">
        <f>[293]Hoja1!$A$1</f>
        <v>657-10411</v>
      </c>
      <c r="D293" s="36" t="str">
        <f>[293]Hoja1!$C$1</f>
        <v>Jgo juntas completo 8/1</v>
      </c>
      <c r="E293" s="36">
        <f>[293]Hoja1!$I$1</f>
        <v>0</v>
      </c>
      <c r="F293" s="36">
        <f>[293]Hoja1!$I$2</f>
        <v>1</v>
      </c>
      <c r="G293" s="36">
        <f>[293]Hoja1!$E$22</f>
        <v>9</v>
      </c>
      <c r="H293" s="36">
        <f>[293]Hoja1!$H$22</f>
        <v>0</v>
      </c>
      <c r="I293" s="36">
        <f t="shared" si="4"/>
        <v>9</v>
      </c>
      <c r="J293" s="37">
        <f>MAX([293]Hoja1!$A$5:$A$22)</f>
        <v>44089</v>
      </c>
      <c r="K293" s="38" t="str">
        <f>IF(ISTEXT([293]Hoja1!$A$23),[293]Hoja1!$A$23,"")</f>
        <v/>
      </c>
    </row>
    <row r="294" spans="2:11" x14ac:dyDescent="0.45">
      <c r="B294" s="39" t="s">
        <v>333</v>
      </c>
      <c r="C294" s="35" t="str">
        <f>[294]Hoja1!$A$1</f>
        <v>657-19697I</v>
      </c>
      <c r="D294" s="36" t="str">
        <f>[294]Hoja1!$C$1</f>
        <v>jgo juntas HR2  desc</v>
      </c>
      <c r="E294" s="36">
        <f>[294]Hoja1!$I$1</f>
        <v>0</v>
      </c>
      <c r="F294" s="36">
        <f>[294]Hoja1!$I$2</f>
        <v>1</v>
      </c>
      <c r="G294" s="36">
        <f>[294]Hoja1!$E$22</f>
        <v>0</v>
      </c>
      <c r="H294" s="36">
        <f>[294]Hoja1!$H$22</f>
        <v>1</v>
      </c>
      <c r="I294" s="36">
        <f t="shared" si="4"/>
        <v>1</v>
      </c>
      <c r="J294" s="37">
        <f>MAX([294]Hoja1!$A$5:$A$22)</f>
        <v>44043</v>
      </c>
      <c r="K294" s="38" t="str">
        <f>IF(ISTEXT([294]Hoja1!$A$23),[294]Hoja1!$A$23,"")</f>
        <v/>
      </c>
    </row>
    <row r="295" spans="2:11" x14ac:dyDescent="0.45">
      <c r="B295" s="39" t="s">
        <v>334</v>
      </c>
      <c r="C295" s="35" t="str">
        <f>[295]Hoja1!$A$1</f>
        <v>657-19706I</v>
      </c>
      <c r="D295" s="36" t="str">
        <f>[295]Hoja1!$C$1</f>
        <v>jgo juntas HR3 compl.</v>
      </c>
      <c r="E295" s="36">
        <f>[295]Hoja1!$I$1</f>
        <v>0</v>
      </c>
      <c r="F295" s="36">
        <f>[295]Hoja1!$I$2</f>
        <v>2</v>
      </c>
      <c r="G295" s="36">
        <f>[295]Hoja1!$E$22</f>
        <v>0</v>
      </c>
      <c r="H295" s="36">
        <f>[295]Hoja1!$H$22</f>
        <v>2</v>
      </c>
      <c r="I295" s="36">
        <f t="shared" si="4"/>
        <v>2</v>
      </c>
      <c r="J295" s="37">
        <f>MAX([295]Hoja1!$A$5:$A$22)</f>
        <v>44043</v>
      </c>
      <c r="K295" s="38" t="str">
        <f>IF(ISTEXT([295]Hoja1!$A$23),[295]Hoja1!$A$23,"")</f>
        <v/>
      </c>
    </row>
    <row r="296" spans="2:11" x14ac:dyDescent="0.45">
      <c r="B296" s="39" t="s">
        <v>335</v>
      </c>
      <c r="C296" s="35" t="str">
        <f>[296]Hoja1!$A$1</f>
        <v>657-23503I</v>
      </c>
      <c r="D296" s="36" t="str">
        <f>[296]Hoja1!$C$1</f>
        <v>jgo juntas ST1 desc.</v>
      </c>
      <c r="E296" s="36">
        <f>[296]Hoja1!$I$1</f>
        <v>0</v>
      </c>
      <c r="F296" s="36">
        <f>[296]Hoja1!$I$2</f>
        <v>2</v>
      </c>
      <c r="G296" s="36">
        <f>[296]Hoja1!$E$22</f>
        <v>0</v>
      </c>
      <c r="H296" s="36">
        <f>[296]Hoja1!$H$22</f>
        <v>0</v>
      </c>
      <c r="I296" s="36">
        <f t="shared" si="4"/>
        <v>0</v>
      </c>
      <c r="J296" s="37">
        <f>MAX([296]Hoja1!$A$5:$A$22)</f>
        <v>44121</v>
      </c>
      <c r="K296" s="38" t="str">
        <f>IF(ISTEXT([296]Hoja1!$A$23),[296]Hoja1!$A$23,"")</f>
        <v/>
      </c>
    </row>
    <row r="297" spans="2:11" x14ac:dyDescent="0.45">
      <c r="B297" s="45" t="s">
        <v>336</v>
      </c>
      <c r="C297" s="35" t="str">
        <f>[297]Hoja1!$A$1</f>
        <v>657-23525I</v>
      </c>
      <c r="D297" s="36" t="str">
        <f>[297]Hoja1!$C$1</f>
        <v>jgo juntas ST2 compl.</v>
      </c>
      <c r="E297" s="36">
        <f>[297]Hoja1!$I$1</f>
        <v>0</v>
      </c>
      <c r="F297" s="36">
        <f>[297]Hoja1!$I$2</f>
        <v>2</v>
      </c>
      <c r="G297" s="36">
        <f>[297]Hoja1!$E$22</f>
        <v>0</v>
      </c>
      <c r="H297" s="36">
        <f>[297]Hoja1!$H$22</f>
        <v>1</v>
      </c>
      <c r="I297" s="36">
        <f t="shared" si="4"/>
        <v>1</v>
      </c>
      <c r="J297" s="37">
        <f>MAX([297]Hoja1!$A$5:$A$22)</f>
        <v>44043</v>
      </c>
      <c r="K297" s="38" t="str">
        <f>IF(ISTEXT([297]Hoja1!$A$23),[297]Hoja1!$A$23,"")</f>
        <v/>
      </c>
    </row>
    <row r="298" spans="2:11" x14ac:dyDescent="0.45">
      <c r="B298" s="39" t="s">
        <v>337</v>
      </c>
      <c r="C298" s="35" t="str">
        <f>[298]Hoja1!$A$1</f>
        <v>657-23543I</v>
      </c>
      <c r="D298" s="36" t="str">
        <f>[298]Hoja1!$C$1</f>
        <v>jgo juntas ST3 desc.</v>
      </c>
      <c r="E298" s="36">
        <f>[298]Hoja1!$I$1</f>
        <v>0</v>
      </c>
      <c r="F298" s="36">
        <f>[298]Hoja1!$I$2</f>
        <v>2</v>
      </c>
      <c r="G298" s="36">
        <f>[298]Hoja1!$E$22</f>
        <v>0</v>
      </c>
      <c r="H298" s="36">
        <f>[298]Hoja1!$H$22</f>
        <v>2</v>
      </c>
      <c r="I298" s="36">
        <f t="shared" si="4"/>
        <v>2</v>
      </c>
      <c r="J298" s="37">
        <f>MAX([298]Hoja1!$A$5:$A$22)</f>
        <v>44043</v>
      </c>
      <c r="K298" s="38" t="str">
        <f>IF(ISTEXT([298]Hoja1!$A$23),[298]Hoja1!$A$23,"")</f>
        <v/>
      </c>
    </row>
    <row r="299" spans="2:11" x14ac:dyDescent="0.45">
      <c r="B299" s="45" t="s">
        <v>338</v>
      </c>
      <c r="C299" s="35" t="str">
        <f>[299]Hoja1!$A$1</f>
        <v>657-235457I</v>
      </c>
      <c r="D299" s="36" t="str">
        <f>[299]Hoja1!$C$1</f>
        <v>jgo juntas ST3 compl.</v>
      </c>
      <c r="E299" s="36">
        <f>[299]Hoja1!$I$1</f>
        <v>0</v>
      </c>
      <c r="F299" s="36">
        <f>[299]Hoja1!$I$2</f>
        <v>2</v>
      </c>
      <c r="G299" s="36">
        <f>[299]Hoja1!$E$22</f>
        <v>0</v>
      </c>
      <c r="H299" s="36">
        <f>[299]Hoja1!$H$22</f>
        <v>2</v>
      </c>
      <c r="I299" s="36">
        <f t="shared" si="4"/>
        <v>2</v>
      </c>
      <c r="J299" s="37">
        <f>MAX([299]Hoja1!$A$5:$A$22)</f>
        <v>44043</v>
      </c>
      <c r="K299" s="38" t="str">
        <f>IF(ISTEXT([299]Hoja1!$A$23),[299]Hoja1!$A$23,"")</f>
        <v/>
      </c>
    </row>
    <row r="300" spans="2:11" x14ac:dyDescent="0.45">
      <c r="B300" s="39" t="s">
        <v>339</v>
      </c>
      <c r="C300" s="35" t="str">
        <f>[300]Hoja1!$A$1</f>
        <v>657-29461I</v>
      </c>
      <c r="D300" s="36" t="str">
        <f>[300]Hoja1!$C$1</f>
        <v>jgo juntas LV1  descarb</v>
      </c>
      <c r="E300" s="36">
        <f>[300]Hoja1!$I$1</f>
        <v>0</v>
      </c>
      <c r="F300" s="36">
        <f>[300]Hoja1!$I$2</f>
        <v>2</v>
      </c>
      <c r="G300" s="36">
        <f>[300]Hoja1!$E$22</f>
        <v>0</v>
      </c>
      <c r="H300" s="36">
        <f>[300]Hoja1!$H$22</f>
        <v>1</v>
      </c>
      <c r="I300" s="36">
        <f t="shared" si="4"/>
        <v>1</v>
      </c>
      <c r="J300" s="37">
        <f>MAX([300]Hoja1!$A$5:$A$22)</f>
        <v>44043</v>
      </c>
      <c r="K300" s="38" t="str">
        <f>IF(ISTEXT([300]Hoja1!$A$23),[300]Hoja1!$A$23,"")</f>
        <v/>
      </c>
    </row>
    <row r="301" spans="2:11" x14ac:dyDescent="0.45">
      <c r="B301" s="45" t="s">
        <v>340</v>
      </c>
      <c r="C301" s="35" t="str">
        <f>[301]Hoja1!$A$1</f>
        <v>657-33091I</v>
      </c>
      <c r="D301" s="36" t="str">
        <f>[301]Hoja1!$C$1</f>
        <v>jgo juntas TR1 compl</v>
      </c>
      <c r="E301" s="36">
        <f>[301]Hoja1!$I$1</f>
        <v>0</v>
      </c>
      <c r="F301" s="36">
        <f>[301]Hoja1!$I$2</f>
        <v>2</v>
      </c>
      <c r="G301" s="36">
        <f>[301]Hoja1!$E$22</f>
        <v>0</v>
      </c>
      <c r="H301" s="36">
        <f>[301]Hoja1!$H$22</f>
        <v>0</v>
      </c>
      <c r="I301" s="36">
        <f t="shared" si="4"/>
        <v>0</v>
      </c>
      <c r="J301" s="37">
        <f>MAX([301]Hoja1!$A$5:$A$22)</f>
        <v>44103</v>
      </c>
      <c r="K301" s="38" t="str">
        <f>IF(ISTEXT([301]Hoja1!$A$23),[301]Hoja1!$A$23,"")</f>
        <v/>
      </c>
    </row>
    <row r="302" spans="2:11" x14ac:dyDescent="0.45">
      <c r="B302" s="45" t="s">
        <v>341</v>
      </c>
      <c r="C302" s="35" t="str">
        <f>[302]Hoja1!$A$1</f>
        <v>657-33091I</v>
      </c>
      <c r="D302" s="36" t="str">
        <f>[302]Hoja1!$C$1</f>
        <v>jgo juntas TR1 compl</v>
      </c>
      <c r="E302" s="36">
        <f>[302]Hoja1!$I$1</f>
        <v>0</v>
      </c>
      <c r="F302" s="36">
        <f>[302]Hoja1!$I$2</f>
        <v>2</v>
      </c>
      <c r="G302" s="36">
        <f>[302]Hoja1!$E$22</f>
        <v>1</v>
      </c>
      <c r="H302" s="36">
        <f>[302]Hoja1!$H$22</f>
        <v>0</v>
      </c>
      <c r="I302" s="36">
        <f t="shared" si="4"/>
        <v>1</v>
      </c>
      <c r="J302" s="37">
        <f>MAX([302]Hoja1!$A$5:$A$22)</f>
        <v>44043</v>
      </c>
      <c r="K302" s="38" t="str">
        <f>IF(ISTEXT([302]Hoja1!$A$23),[302]Hoja1!$A$23,"")</f>
        <v/>
      </c>
    </row>
    <row r="303" spans="2:11" x14ac:dyDescent="0.45">
      <c r="B303" s="45" t="s">
        <v>342</v>
      </c>
      <c r="C303" s="35" t="str">
        <f>[303]Hoja1!$A$1</f>
        <v>657-33361</v>
      </c>
      <c r="D303" s="36" t="str">
        <f>[303]Hoja1!$C$1</f>
        <v>jgo juntas TR2 desc</v>
      </c>
      <c r="E303" s="36">
        <f>[303]Hoja1!$I$1</f>
        <v>0</v>
      </c>
      <c r="F303" s="36">
        <f>[303]Hoja1!$I$2</f>
        <v>2</v>
      </c>
      <c r="G303" s="36">
        <f>[303]Hoja1!$E$22</f>
        <v>2</v>
      </c>
      <c r="H303" s="36">
        <f>[303]Hoja1!$H$22</f>
        <v>0</v>
      </c>
      <c r="I303" s="36">
        <f t="shared" si="4"/>
        <v>2</v>
      </c>
      <c r="J303" s="37">
        <f>MAX([303]Hoja1!$A$5:$A$22)</f>
        <v>44103</v>
      </c>
      <c r="K303" s="38" t="str">
        <f>IF(ISTEXT([303]Hoja1!$A$23),[303]Hoja1!$A$23,"")</f>
        <v/>
      </c>
    </row>
    <row r="304" spans="2:11" x14ac:dyDescent="0.45">
      <c r="B304" s="45" t="s">
        <v>343</v>
      </c>
      <c r="C304" s="35" t="str">
        <f>[304]Hoja1!$A$1</f>
        <v>657-33361</v>
      </c>
      <c r="D304" s="36" t="str">
        <f>[304]Hoja1!$C$1</f>
        <v>jgo juntas TR2 desc</v>
      </c>
      <c r="E304" s="36">
        <f>[304]Hoja1!$I$1</f>
        <v>0</v>
      </c>
      <c r="F304" s="36">
        <f>[304]Hoja1!$I$2</f>
        <v>2</v>
      </c>
      <c r="G304" s="36">
        <f>[304]Hoja1!$E$22</f>
        <v>2</v>
      </c>
      <c r="H304" s="36">
        <f>[304]Hoja1!$H$22</f>
        <v>0</v>
      </c>
      <c r="I304" s="36">
        <f t="shared" si="4"/>
        <v>2</v>
      </c>
      <c r="J304" s="37">
        <f>MAX([304]Hoja1!$A$5:$A$22)</f>
        <v>44043</v>
      </c>
      <c r="K304" s="38" t="str">
        <f>IF(ISTEXT([304]Hoja1!$A$23),[304]Hoja1!$A$23,"")</f>
        <v/>
      </c>
    </row>
    <row r="305" spans="2:11" x14ac:dyDescent="0.45">
      <c r="B305" s="45" t="s">
        <v>344</v>
      </c>
      <c r="C305" s="35" t="str">
        <f>[305]Hoja1!$A$1</f>
        <v>657-33381</v>
      </c>
      <c r="D305" s="36" t="str">
        <f>[305]Hoja1!$C$1</f>
        <v>jgo juntas TR3 desc</v>
      </c>
      <c r="E305" s="36">
        <f>[305]Hoja1!$I$1</f>
        <v>0</v>
      </c>
      <c r="F305" s="36">
        <f>[305]Hoja1!$I$2</f>
        <v>2</v>
      </c>
      <c r="G305" s="36">
        <f>[305]Hoja1!$E$22</f>
        <v>1</v>
      </c>
      <c r="H305" s="36">
        <f>[305]Hoja1!$H$22</f>
        <v>0</v>
      </c>
      <c r="I305" s="36">
        <f t="shared" si="4"/>
        <v>1</v>
      </c>
      <c r="J305" s="37">
        <f>MAX([305]Hoja1!$A$5:$A$22)</f>
        <v>44043</v>
      </c>
      <c r="K305" s="38" t="str">
        <f>IF(ISTEXT([305]Hoja1!$A$23),[305]Hoja1!$A$23,"")</f>
        <v/>
      </c>
    </row>
    <row r="306" spans="2:11" x14ac:dyDescent="0.45">
      <c r="B306" s="45" t="s">
        <v>345</v>
      </c>
      <c r="C306" s="35" t="str">
        <f>[306]Hoja1!$A$1</f>
        <v>657-33391I</v>
      </c>
      <c r="D306" s="36" t="str">
        <f>[306]Hoja1!$C$1</f>
        <v>jgo juntas TR3 compl</v>
      </c>
      <c r="E306" s="36">
        <f>[306]Hoja1!$I$1</f>
        <v>0</v>
      </c>
      <c r="F306" s="36">
        <f>[306]Hoja1!$I$2</f>
        <v>2</v>
      </c>
      <c r="G306" s="36">
        <f>[306]Hoja1!$E$22</f>
        <v>2</v>
      </c>
      <c r="H306" s="36">
        <f>[306]Hoja1!$H$22</f>
        <v>0</v>
      </c>
      <c r="I306" s="36">
        <f t="shared" si="4"/>
        <v>2</v>
      </c>
      <c r="J306" s="37">
        <f>MAX([306]Hoja1!$A$5:$A$22)</f>
        <v>44068</v>
      </c>
      <c r="K306" s="38" t="str">
        <f>IF(ISTEXT([306]Hoja1!$A$23),[306]Hoja1!$A$23,"")</f>
        <v/>
      </c>
    </row>
    <row r="307" spans="2:11" x14ac:dyDescent="0.45">
      <c r="B307" s="39" t="s">
        <v>346</v>
      </c>
      <c r="C307" s="35" t="str">
        <f>[307]Hoja1!$A$1</f>
        <v>657-34231I</v>
      </c>
      <c r="D307" s="36" t="str">
        <f>[307]Hoja1!$C$1</f>
        <v>jgo juntas LPW2 desc</v>
      </c>
      <c r="E307" s="36">
        <f>[307]Hoja1!$I$1</f>
        <v>0</v>
      </c>
      <c r="F307" s="36">
        <f>[307]Hoja1!$I$2</f>
        <v>2</v>
      </c>
      <c r="G307" s="36">
        <f>[307]Hoja1!$E$22</f>
        <v>1</v>
      </c>
      <c r="H307" s="36">
        <f>[307]Hoja1!$H$22</f>
        <v>0</v>
      </c>
      <c r="I307" s="36">
        <f t="shared" si="4"/>
        <v>1</v>
      </c>
      <c r="J307" s="37">
        <f>MAX([307]Hoja1!$A$5:$A$22)</f>
        <v>44043</v>
      </c>
      <c r="K307" s="38" t="str">
        <f>IF(ISTEXT([307]Hoja1!$A$23),[307]Hoja1!$A$23,"")</f>
        <v/>
      </c>
    </row>
    <row r="308" spans="2:11" x14ac:dyDescent="0.45">
      <c r="B308" s="39" t="s">
        <v>347</v>
      </c>
      <c r="C308" s="35" t="str">
        <f>[308]Hoja1!$A$1</f>
        <v>657-34241I</v>
      </c>
      <c r="D308" s="36" t="str">
        <f>[308]Hoja1!$C$1</f>
        <v>jgo juntas LPW2 compl</v>
      </c>
      <c r="E308" s="36">
        <f>[308]Hoja1!$I$1</f>
        <v>0</v>
      </c>
      <c r="F308" s="36">
        <f>[308]Hoja1!$I$2</f>
        <v>2</v>
      </c>
      <c r="G308" s="36">
        <f>[308]Hoja1!$E$22</f>
        <v>2</v>
      </c>
      <c r="H308" s="36">
        <f>[308]Hoja1!$H$22</f>
        <v>0</v>
      </c>
      <c r="I308" s="36">
        <f t="shared" si="4"/>
        <v>2</v>
      </c>
      <c r="J308" s="37">
        <f>MAX([308]Hoja1!$A$5:$A$22)</f>
        <v>44056</v>
      </c>
      <c r="K308" s="38" t="str">
        <f>IF(ISTEXT([308]Hoja1!$A$23),[308]Hoja1!$A$23,"")</f>
        <v/>
      </c>
    </row>
    <row r="309" spans="2:11" x14ac:dyDescent="0.45">
      <c r="B309" s="39" t="s">
        <v>348</v>
      </c>
      <c r="C309" s="35" t="str">
        <f>[309]Hoja1!$A$1</f>
        <v>657-34251I</v>
      </c>
      <c r="D309" s="36" t="str">
        <f>[309]Hoja1!$C$1</f>
        <v>jgo juntas LPW3 desc</v>
      </c>
      <c r="E309" s="36">
        <f>[309]Hoja1!$I$1</f>
        <v>0</v>
      </c>
      <c r="F309" s="36">
        <f>[309]Hoja1!$I$2</f>
        <v>2</v>
      </c>
      <c r="G309" s="36">
        <f>[309]Hoja1!$E$22</f>
        <v>1</v>
      </c>
      <c r="H309" s="36">
        <f>[309]Hoja1!$H$22</f>
        <v>0</v>
      </c>
      <c r="I309" s="36">
        <f t="shared" si="4"/>
        <v>1</v>
      </c>
      <c r="J309" s="37">
        <f>MAX([309]Hoja1!$A$5:$A$22)</f>
        <v>44043</v>
      </c>
      <c r="K309" s="38" t="str">
        <f>IF(ISTEXT([309]Hoja1!$A$23),[309]Hoja1!$A$23,"")</f>
        <v/>
      </c>
    </row>
    <row r="310" spans="2:11" x14ac:dyDescent="0.45">
      <c r="B310" s="39" t="s">
        <v>349</v>
      </c>
      <c r="C310" s="35" t="str">
        <f>[310]Hoja1!$A$1</f>
        <v>657-34261I</v>
      </c>
      <c r="D310" s="36" t="str">
        <f>[310]Hoja1!$C$1</f>
        <v>jgo juntas LPW3 compl</v>
      </c>
      <c r="E310" s="36">
        <f>[310]Hoja1!$I$1</f>
        <v>0</v>
      </c>
      <c r="F310" s="36">
        <f>[310]Hoja1!$I$2</f>
        <v>2</v>
      </c>
      <c r="G310" s="36">
        <f>[310]Hoja1!$E$22</f>
        <v>1</v>
      </c>
      <c r="H310" s="36">
        <f>[310]Hoja1!$H$22</f>
        <v>0</v>
      </c>
      <c r="I310" s="36">
        <f t="shared" si="4"/>
        <v>1</v>
      </c>
      <c r="J310" s="37">
        <f>MAX([310]Hoja1!$A$5:$A$22)</f>
        <v>44043</v>
      </c>
      <c r="K310" s="38" t="str">
        <f>IF(ISTEXT([310]Hoja1!$A$23),[310]Hoja1!$A$23,"")</f>
        <v/>
      </c>
    </row>
    <row r="311" spans="2:11" x14ac:dyDescent="0.45">
      <c r="B311" s="39" t="s">
        <v>350</v>
      </c>
      <c r="C311" s="35" t="str">
        <f>[311]Hoja1!$A$1</f>
        <v>657-34271I</v>
      </c>
      <c r="D311" s="36" t="str">
        <f>[311]Hoja1!$C$1</f>
        <v>jgo juntas LPW4 desc</v>
      </c>
      <c r="E311" s="36">
        <f>[311]Hoja1!$I$1</f>
        <v>0</v>
      </c>
      <c r="F311" s="36">
        <f>[311]Hoja1!$I$2</f>
        <v>2</v>
      </c>
      <c r="G311" s="36">
        <f>[311]Hoja1!$E$22</f>
        <v>1</v>
      </c>
      <c r="H311" s="36">
        <f>[311]Hoja1!$H$22</f>
        <v>0</v>
      </c>
      <c r="I311" s="36">
        <f t="shared" si="4"/>
        <v>1</v>
      </c>
      <c r="J311" s="37">
        <f>MAX([311]Hoja1!$A$5:$A$22)</f>
        <v>44043</v>
      </c>
      <c r="K311" s="38" t="str">
        <f>IF(ISTEXT([311]Hoja1!$A$23),[311]Hoja1!$A$23,"")</f>
        <v/>
      </c>
    </row>
    <row r="312" spans="2:11" x14ac:dyDescent="0.45">
      <c r="B312" s="39" t="s">
        <v>351</v>
      </c>
      <c r="C312" s="35" t="str">
        <f>[312]Hoja1!$A$1</f>
        <v>657-34281I</v>
      </c>
      <c r="D312" s="36" t="str">
        <f>[312]Hoja1!$C$1</f>
        <v>jgo juntas LPW4 compl</v>
      </c>
      <c r="E312" s="36">
        <f>[312]Hoja1!$I$1</f>
        <v>0</v>
      </c>
      <c r="F312" s="36">
        <f>[312]Hoja1!$I$2</f>
        <v>2</v>
      </c>
      <c r="G312" s="36">
        <f>[312]Hoja1!$E$22</f>
        <v>1</v>
      </c>
      <c r="H312" s="36">
        <f>[312]Hoja1!$H$22</f>
        <v>0</v>
      </c>
      <c r="I312" s="36">
        <f t="shared" si="4"/>
        <v>1</v>
      </c>
      <c r="J312" s="37">
        <f>MAX([312]Hoja1!$A$5:$A$22)</f>
        <v>44103</v>
      </c>
      <c r="K312" s="38" t="str">
        <f>IF(ISTEXT([312]Hoja1!$A$23),[312]Hoja1!$A$23,"")</f>
        <v/>
      </c>
    </row>
    <row r="313" spans="2:11" x14ac:dyDescent="0.45">
      <c r="B313" s="45" t="s">
        <v>352</v>
      </c>
      <c r="C313" s="35" t="str">
        <f>[313]Hoja1!$A$1</f>
        <v>657-34281I</v>
      </c>
      <c r="D313" s="36" t="str">
        <f>[313]Hoja1!$C$1</f>
        <v>jgo juntas LPW4 compl</v>
      </c>
      <c r="E313" s="36">
        <f>[313]Hoja1!$I$1</f>
        <v>0</v>
      </c>
      <c r="F313" s="36">
        <f>[313]Hoja1!$I$2</f>
        <v>2</v>
      </c>
      <c r="G313" s="36">
        <f>[313]Hoja1!$E$22</f>
        <v>1</v>
      </c>
      <c r="H313" s="36">
        <f>[313]Hoja1!$H$22</f>
        <v>0</v>
      </c>
      <c r="I313" s="36">
        <f t="shared" si="4"/>
        <v>1</v>
      </c>
      <c r="J313" s="37">
        <f>MAX([313]Hoja1!$A$5:$A$22)</f>
        <v>44043</v>
      </c>
      <c r="K313" s="38" t="str">
        <f>IF(ISTEXT([313]Hoja1!$A$23),[313]Hoja1!$A$23,"")</f>
        <v/>
      </c>
    </row>
    <row r="314" spans="2:11" x14ac:dyDescent="0.45">
      <c r="B314" s="39" t="s">
        <v>353</v>
      </c>
      <c r="C314" s="35" t="str">
        <f>[314]Hoja1!$A$1</f>
        <v>660-10600</v>
      </c>
      <c r="D314" s="36" t="str">
        <f>[314]Hoja1!$C$1</f>
        <v>junta de retencion bba iny  LL</v>
      </c>
      <c r="E314" s="36">
        <f>[314]Hoja1!$I$1</f>
        <v>0</v>
      </c>
      <c r="F314" s="36">
        <f>[314]Hoja1!$I$2</f>
        <v>1</v>
      </c>
      <c r="G314" s="36">
        <f>[314]Hoja1!$E$22</f>
        <v>6</v>
      </c>
      <c r="H314" s="36">
        <f>[314]Hoja1!$H$22</f>
        <v>4</v>
      </c>
      <c r="I314" s="36">
        <f t="shared" si="4"/>
        <v>10</v>
      </c>
      <c r="J314" s="37">
        <f>MAX([314]Hoja1!$A$5:$A$22)</f>
        <v>44043</v>
      </c>
      <c r="K314" s="38" t="str">
        <f>IF(ISTEXT([314]Hoja1!$A$23),[314]Hoja1!$A$23,"")</f>
        <v/>
      </c>
    </row>
    <row r="315" spans="2:11" x14ac:dyDescent="0.45">
      <c r="B315" s="39" t="s">
        <v>354</v>
      </c>
      <c r="C315" s="35" t="str">
        <f>[315]Hoja1!$A$1</f>
        <v>660-10910</v>
      </c>
      <c r="D315" s="36" t="str">
        <f>[315]Hoja1!$C$1</f>
        <v>elemento de bba iny  LL</v>
      </c>
      <c r="E315" s="36">
        <f>[315]Hoja1!$I$1</f>
        <v>0</v>
      </c>
      <c r="F315" s="36">
        <f>[315]Hoja1!$I$2</f>
        <v>1</v>
      </c>
      <c r="G315" s="36">
        <f>[315]Hoja1!$E$22</f>
        <v>8</v>
      </c>
      <c r="H315" s="36">
        <f>[315]Hoja1!$H$22</f>
        <v>2</v>
      </c>
      <c r="I315" s="36">
        <f t="shared" si="4"/>
        <v>10</v>
      </c>
      <c r="J315" s="37">
        <f>MAX([315]Hoja1!$A$5:$A$22)</f>
        <v>44043</v>
      </c>
      <c r="K315" s="38" t="str">
        <f>IF(ISTEXT([315]Hoja1!$A$23),[315]Hoja1!$A$23,"")</f>
        <v/>
      </c>
    </row>
    <row r="316" spans="2:11" x14ac:dyDescent="0.45">
      <c r="B316" s="39" t="s">
        <v>355</v>
      </c>
      <c r="C316" s="35" t="str">
        <f>[316]Hoja1!$A$1</f>
        <v>660-11050I</v>
      </c>
      <c r="D316" s="36" t="str">
        <f>[316]Hoja1!$C$1</f>
        <v>valv.ret.bba.SR-ST-HA2/3-LT1</v>
      </c>
      <c r="E316" s="36">
        <f>[316]Hoja1!$I$1</f>
        <v>0</v>
      </c>
      <c r="F316" s="36">
        <f>[316]Hoja1!$I$2</f>
        <v>2</v>
      </c>
      <c r="G316" s="36">
        <f>[316]Hoja1!$E$22</f>
        <v>1</v>
      </c>
      <c r="H316" s="36">
        <f>[316]Hoja1!$H$22</f>
        <v>3</v>
      </c>
      <c r="I316" s="36">
        <f t="shared" si="4"/>
        <v>4</v>
      </c>
      <c r="J316" s="37">
        <f>MAX([316]Hoja1!$A$5:$A$22)</f>
        <v>44089</v>
      </c>
      <c r="K316" s="38" t="str">
        <f>IF(ISTEXT([316]Hoja1!$A$23),[316]Hoja1!$A$23,"")</f>
        <v/>
      </c>
    </row>
    <row r="317" spans="2:11" x14ac:dyDescent="0.45">
      <c r="B317" s="39" t="s">
        <v>356</v>
      </c>
      <c r="C317" s="35" t="str">
        <f>[317]Hoja1!$A$1</f>
        <v>660-13630I</v>
      </c>
      <c r="D317" s="36" t="str">
        <f>[317]Hoja1!$C$1</f>
        <v>elemento bba. HR2/3</v>
      </c>
      <c r="E317" s="36">
        <f>[317]Hoja1!$I$1</f>
        <v>0</v>
      </c>
      <c r="F317" s="36">
        <f>[317]Hoja1!$I$2</f>
        <v>2</v>
      </c>
      <c r="G317" s="36">
        <f>[317]Hoja1!$E$22</f>
        <v>0</v>
      </c>
      <c r="H317" s="36">
        <f>[317]Hoja1!$H$22</f>
        <v>4</v>
      </c>
      <c r="I317" s="36">
        <f t="shared" si="4"/>
        <v>4</v>
      </c>
      <c r="J317" s="37">
        <f>MAX([317]Hoja1!$A$5:$A$22)</f>
        <v>44043</v>
      </c>
      <c r="K317" s="38" t="str">
        <f>IF(ISTEXT([317]Hoja1!$A$23),[317]Hoja1!$A$23,"")</f>
        <v/>
      </c>
    </row>
    <row r="318" spans="2:11" x14ac:dyDescent="0.45">
      <c r="B318" s="45" t="s">
        <v>357</v>
      </c>
      <c r="C318" s="35" t="str">
        <f>[318]Hoja1!$A$1</f>
        <v>660-13640I</v>
      </c>
      <c r="D318" s="36" t="str">
        <f>[318]Hoja1!$C$1</f>
        <v>valv.ret. bba. HR2/3-LT2</v>
      </c>
      <c r="E318" s="36">
        <f>[318]Hoja1!$I$1</f>
        <v>0</v>
      </c>
      <c r="F318" s="36">
        <f>[318]Hoja1!$I$2</f>
        <v>2</v>
      </c>
      <c r="G318" s="36">
        <f>[318]Hoja1!$E$22</f>
        <v>0</v>
      </c>
      <c r="H318" s="36">
        <f>[318]Hoja1!$H$22</f>
        <v>1</v>
      </c>
      <c r="I318" s="36">
        <f t="shared" si="4"/>
        <v>1</v>
      </c>
      <c r="J318" s="37">
        <f>MAX([318]Hoja1!$A$5:$A$22)</f>
        <v>44043</v>
      </c>
      <c r="K318" s="38" t="str">
        <f>IF(ISTEXT([318]Hoja1!$A$23),[318]Hoja1!$A$23,"")</f>
        <v/>
      </c>
    </row>
    <row r="319" spans="2:11" x14ac:dyDescent="0.45">
      <c r="B319" s="39" t="s">
        <v>358</v>
      </c>
      <c r="C319" s="35" t="str">
        <f>[319]Hoja1!$A$1</f>
        <v>660-13760I</v>
      </c>
      <c r="D319" s="36" t="str">
        <f>[319]Hoja1!$C$1</f>
        <v>elemento.bba.  ST</v>
      </c>
      <c r="E319" s="36">
        <f>[319]Hoja1!$I$1</f>
        <v>0</v>
      </c>
      <c r="F319" s="36">
        <f>[319]Hoja1!$I$2</f>
        <v>2</v>
      </c>
      <c r="G319" s="36">
        <f>[319]Hoja1!$E$22</f>
        <v>0</v>
      </c>
      <c r="H319" s="36">
        <f>[319]Hoja1!$H$22</f>
        <v>4</v>
      </c>
      <c r="I319" s="36">
        <f t="shared" si="4"/>
        <v>4</v>
      </c>
      <c r="J319" s="37">
        <f>MAX([319]Hoja1!$A$5:$A$22)</f>
        <v>44089</v>
      </c>
      <c r="K319" s="38" t="str">
        <f>IF(ISTEXT([319]Hoja1!$A$23),[319]Hoja1!$A$23,"")</f>
        <v>luis scassi ofrece stock ex tandanor</v>
      </c>
    </row>
    <row r="320" spans="2:11" x14ac:dyDescent="0.45">
      <c r="B320" s="39" t="s">
        <v>359</v>
      </c>
      <c r="C320" s="35" t="str">
        <f>[320]Hoja1!$A$1</f>
        <v>660-14260I</v>
      </c>
      <c r="D320" s="36" t="str">
        <f>[320]Hoja1!$C$1</f>
        <v>elemento.bba. TS-TR -</v>
      </c>
      <c r="E320" s="36">
        <f>[320]Hoja1!$I$1</f>
        <v>0</v>
      </c>
      <c r="F320" s="36">
        <f>[320]Hoja1!$I$2</f>
        <v>2</v>
      </c>
      <c r="G320" s="36">
        <f>[320]Hoja1!$E$22</f>
        <v>0</v>
      </c>
      <c r="H320" s="36">
        <f>[320]Hoja1!$H$22</f>
        <v>2</v>
      </c>
      <c r="I320" s="36">
        <f t="shared" si="4"/>
        <v>2</v>
      </c>
      <c r="J320" s="37">
        <f>MAX([320]Hoja1!$A$5:$A$22)</f>
        <v>44089</v>
      </c>
      <c r="K320" s="38" t="str">
        <f>IF(ISTEXT([320]Hoja1!$A$23),[320]Hoja1!$A$23,"")</f>
        <v/>
      </c>
    </row>
    <row r="321" spans="2:11" x14ac:dyDescent="0.45">
      <c r="B321" s="39" t="s">
        <v>360</v>
      </c>
      <c r="C321" s="35" t="str">
        <f>[321]Hoja1!$A$1</f>
        <v>660-14270A</v>
      </c>
      <c r="D321" s="36" t="str">
        <f>[321]Hoja1!$C$1</f>
        <v>valv.ret.bba. TS-TR -LV</v>
      </c>
      <c r="E321" s="36">
        <f>[321]Hoja1!$I$1</f>
        <v>0</v>
      </c>
      <c r="F321" s="36">
        <f>[321]Hoja1!$I$2</f>
        <v>2</v>
      </c>
      <c r="G321" s="36">
        <f>[321]Hoja1!$E$22</f>
        <v>0</v>
      </c>
      <c r="H321" s="36">
        <f>[321]Hoja1!$H$22</f>
        <v>4</v>
      </c>
      <c r="I321" s="36">
        <f t="shared" si="4"/>
        <v>4</v>
      </c>
      <c r="J321" s="37">
        <f>MAX([321]Hoja1!$A$5:$A$22)</f>
        <v>44089</v>
      </c>
      <c r="K321" s="38" t="str">
        <f>IF(ISTEXT([321]Hoja1!$A$23),[321]Hoja1!$A$23,"")</f>
        <v/>
      </c>
    </row>
    <row r="322" spans="2:11" x14ac:dyDescent="0.45">
      <c r="B322" s="39" t="s">
        <v>361</v>
      </c>
      <c r="C322" s="35" t="str">
        <f>[322]Hoja1!$A$1</f>
        <v>660-14270I</v>
      </c>
      <c r="D322" s="36" t="str">
        <f>[322]Hoja1!$C$1</f>
        <v>valv.ret.bba. TS-TR -LV-LT</v>
      </c>
      <c r="E322" s="36">
        <f>[322]Hoja1!$I$1</f>
        <v>0</v>
      </c>
      <c r="F322" s="36">
        <f>[322]Hoja1!$I$2</f>
        <v>2</v>
      </c>
      <c r="G322" s="36">
        <f>[322]Hoja1!$E$22</f>
        <v>0</v>
      </c>
      <c r="H322" s="36">
        <f>[322]Hoja1!$H$22</f>
        <v>4</v>
      </c>
      <c r="I322" s="36">
        <f t="shared" si="4"/>
        <v>4</v>
      </c>
      <c r="J322" s="37">
        <f>MAX([322]Hoja1!$A$5:$A$22)</f>
        <v>44043</v>
      </c>
      <c r="K322" s="38" t="str">
        <f>IF(ISTEXT([322]Hoja1!$A$23),[322]Hoja1!$A$23,"")</f>
        <v/>
      </c>
    </row>
    <row r="323" spans="2:11" x14ac:dyDescent="0.45">
      <c r="B323" s="39" t="s">
        <v>362</v>
      </c>
      <c r="C323" s="35" t="str">
        <f>[323]Hoja1!$A$1</f>
        <v>750-10152I</v>
      </c>
      <c r="D323" s="36" t="str">
        <f>[323]Hoja1!$C$1</f>
        <v>biela LPW</v>
      </c>
      <c r="E323" s="36">
        <f>[323]Hoja1!$I$1</f>
        <v>0</v>
      </c>
      <c r="F323" s="36">
        <f>[323]Hoja1!$I$2</f>
        <v>2</v>
      </c>
      <c r="G323" s="36">
        <f>[323]Hoja1!$E$22</f>
        <v>1</v>
      </c>
      <c r="H323" s="36">
        <f>[323]Hoja1!$H$22</f>
        <v>0</v>
      </c>
      <c r="I323" s="36">
        <f t="shared" ref="I323:I386" si="5">SUM(G323:H323)</f>
        <v>1</v>
      </c>
      <c r="J323" s="37">
        <f>MAX([323]Hoja1!$A$5:$A$22)</f>
        <v>44135</v>
      </c>
      <c r="K323" s="38" t="str">
        <f>IF(ISTEXT([323]Hoja1!$A$23),[323]Hoja1!$A$23,"")</f>
        <v/>
      </c>
    </row>
    <row r="324" spans="2:11" x14ac:dyDescent="0.45">
      <c r="B324" s="39" t="s">
        <v>363</v>
      </c>
      <c r="C324" s="35" t="str">
        <f>[324]Hoja1!$A$1</f>
        <v>750-10430I</v>
      </c>
      <c r="D324" s="36" t="str">
        <f>[324]Hoja1!$C$1</f>
        <v>luz indicadora I</v>
      </c>
      <c r="E324" s="36">
        <f>[324]Hoja1!$I$1</f>
        <v>0</v>
      </c>
      <c r="F324" s="36">
        <f>[324]Hoja1!$I$2</f>
        <v>0</v>
      </c>
      <c r="G324" s="36">
        <f>[324]Hoja1!$E$22</f>
        <v>0</v>
      </c>
      <c r="H324" s="36">
        <f>[324]Hoja1!$H$22</f>
        <v>2</v>
      </c>
      <c r="I324" s="36">
        <f t="shared" si="5"/>
        <v>2</v>
      </c>
      <c r="J324" s="37">
        <f>MAX([324]Hoja1!$A$5:$A$22)</f>
        <v>44043</v>
      </c>
      <c r="K324" s="38" t="str">
        <f>IF(ISTEXT([324]Hoja1!$A$23),[324]Hoja1!$A$23,"")</f>
        <v/>
      </c>
    </row>
    <row r="325" spans="2:11" x14ac:dyDescent="0.45">
      <c r="B325" s="45" t="s">
        <v>364</v>
      </c>
      <c r="C325" s="35" t="str">
        <f>[325]Hoja1!$A$1</f>
        <v>750-10152I</v>
      </c>
      <c r="D325" s="36" t="str">
        <f>[325]Hoja1!$C$1</f>
        <v>biela LPW</v>
      </c>
      <c r="E325" s="36">
        <f>[325]Hoja1!$I$1</f>
        <v>0</v>
      </c>
      <c r="F325" s="36">
        <f>[325]Hoja1!$I$2</f>
        <v>2</v>
      </c>
      <c r="G325" s="36">
        <f>[325]Hoja1!$E$22</f>
        <v>0</v>
      </c>
      <c r="H325" s="36">
        <f>[325]Hoja1!$H$22</f>
        <v>1</v>
      </c>
      <c r="I325" s="36">
        <f t="shared" si="5"/>
        <v>1</v>
      </c>
      <c r="J325" s="37">
        <f>MAX([325]Hoja1!$A$5:$A$22)</f>
        <v>44043</v>
      </c>
      <c r="K325" s="38" t="str">
        <f>IF(ISTEXT([325]Hoja1!$A$23),[325]Hoja1!$A$23,"")</f>
        <v/>
      </c>
    </row>
    <row r="326" spans="2:11" x14ac:dyDescent="0.45">
      <c r="B326" s="39" t="s">
        <v>365</v>
      </c>
      <c r="C326" s="35" t="str">
        <f>[326]Hoja1!$A$1</f>
        <v>750-10662I</v>
      </c>
      <c r="D326" s="36" t="str">
        <f>[326]Hoja1!$C$1</f>
        <v>conj palanca velocidad varialble LPW</v>
      </c>
      <c r="E326" s="36">
        <f>[326]Hoja1!$I$1</f>
        <v>0</v>
      </c>
      <c r="F326" s="36">
        <f>[326]Hoja1!$I$2</f>
        <v>2</v>
      </c>
      <c r="G326" s="36">
        <f>[326]Hoja1!$E$22</f>
        <v>0</v>
      </c>
      <c r="H326" s="36">
        <f>[326]Hoja1!$H$22</f>
        <v>1</v>
      </c>
      <c r="I326" s="36">
        <f t="shared" si="5"/>
        <v>1</v>
      </c>
      <c r="J326" s="37">
        <f>MAX([326]Hoja1!$A$5:$A$22)</f>
        <v>44043</v>
      </c>
      <c r="K326" s="38" t="str">
        <f>IF(ISTEXT([326]Hoja1!$A$23),[326]Hoja1!$A$23,"")</f>
        <v/>
      </c>
    </row>
    <row r="327" spans="2:11" x14ac:dyDescent="0.45">
      <c r="B327" s="39" t="s">
        <v>366</v>
      </c>
      <c r="C327" s="35" t="str">
        <f>[327]Hoja1!$A$1</f>
        <v>750-10663I</v>
      </c>
      <c r="D327" s="36" t="str">
        <f>[327]Hoja1!$C$1</f>
        <v>conj palanca veloc. Fija  LPW4</v>
      </c>
      <c r="E327" s="36">
        <f>[327]Hoja1!$I$1</f>
        <v>0</v>
      </c>
      <c r="F327" s="36">
        <f>[327]Hoja1!$I$2</f>
        <v>2</v>
      </c>
      <c r="G327" s="36">
        <f>[327]Hoja1!$E$22</f>
        <v>0</v>
      </c>
      <c r="H327" s="36">
        <f>[327]Hoja1!$H$22</f>
        <v>1</v>
      </c>
      <c r="I327" s="36">
        <f t="shared" si="5"/>
        <v>1</v>
      </c>
      <c r="J327" s="37">
        <f>MAX([327]Hoja1!$A$5:$A$22)</f>
        <v>44043</v>
      </c>
      <c r="K327" s="38" t="str">
        <f>IF(ISTEXT([327]Hoja1!$A$23),[327]Hoja1!$A$23,"")</f>
        <v/>
      </c>
    </row>
    <row r="328" spans="2:11" x14ac:dyDescent="0.45">
      <c r="B328" s="39" t="s">
        <v>367</v>
      </c>
      <c r="C328" s="35" t="str">
        <f>[328]Hoja1!$A$1</f>
        <v>750-11210I</v>
      </c>
      <c r="D328" s="36" t="str">
        <f>[328]Hoja1!$C$1</f>
        <v>coj. Bancada lado volante LPW STD</v>
      </c>
      <c r="E328" s="36">
        <f>[328]Hoja1!$I$1</f>
        <v>0</v>
      </c>
      <c r="F328" s="36">
        <f>[328]Hoja1!$I$2</f>
        <v>2</v>
      </c>
      <c r="G328" s="36">
        <f>[328]Hoja1!$E$22</f>
        <v>0</v>
      </c>
      <c r="H328" s="36">
        <f>[328]Hoja1!$H$22</f>
        <v>3</v>
      </c>
      <c r="I328" s="36">
        <f t="shared" si="5"/>
        <v>3</v>
      </c>
      <c r="J328" s="37">
        <f>MAX([328]Hoja1!$A$5:$A$22)</f>
        <v>44116</v>
      </c>
      <c r="K328" s="38" t="str">
        <f>IF(ISTEXT([328]Hoja1!$A$23),[328]Hoja1!$A$23,"")</f>
        <v/>
      </c>
    </row>
    <row r="329" spans="2:11" x14ac:dyDescent="0.45">
      <c r="B329" s="39" t="s">
        <v>368</v>
      </c>
      <c r="C329" s="35" t="str">
        <f>[329]Hoja1!$A$1</f>
        <v>750-11210I025</v>
      </c>
      <c r="D329" s="36" t="str">
        <f>[329]Hoja1!$C$1</f>
        <v>coj. Bancada lado volante LPW-  I 025</v>
      </c>
      <c r="E329" s="36">
        <f>[329]Hoja1!$I$1</f>
        <v>0</v>
      </c>
      <c r="F329" s="36">
        <f>[329]Hoja1!$I$2</f>
        <v>2</v>
      </c>
      <c r="G329" s="36">
        <f>[329]Hoja1!$E$22</f>
        <v>1</v>
      </c>
      <c r="H329" s="36">
        <f>[329]Hoja1!$H$22</f>
        <v>6</v>
      </c>
      <c r="I329" s="36">
        <f t="shared" si="5"/>
        <v>7</v>
      </c>
      <c r="J329" s="37">
        <f>MAX([329]Hoja1!$A$5:$A$22)</f>
        <v>44116</v>
      </c>
      <c r="K329" s="38" t="str">
        <f>IF(ISTEXT([329]Hoja1!$A$23),[329]Hoja1!$A$23,"")</f>
        <v/>
      </c>
    </row>
    <row r="330" spans="2:11" x14ac:dyDescent="0.45">
      <c r="B330" s="39" t="s">
        <v>369</v>
      </c>
      <c r="C330" s="35" t="str">
        <f>[330]Hoja1!$A$1</f>
        <v>750-11210I050</v>
      </c>
      <c r="D330" s="36" t="str">
        <f>[330]Hoja1!$C$1</f>
        <v>coj. Bancada lado volante LPW  I  050</v>
      </c>
      <c r="E330" s="36">
        <f>[330]Hoja1!$I$1</f>
        <v>0</v>
      </c>
      <c r="F330" s="36">
        <f>[330]Hoja1!$I$2</f>
        <v>2</v>
      </c>
      <c r="G330" s="36">
        <f>[330]Hoja1!$E$22</f>
        <v>2</v>
      </c>
      <c r="H330" s="36">
        <f>[330]Hoja1!$H$22</f>
        <v>4</v>
      </c>
      <c r="I330" s="36">
        <f t="shared" si="5"/>
        <v>6</v>
      </c>
      <c r="J330" s="37">
        <f>MAX([330]Hoja1!$A$5:$A$22)</f>
        <v>44116</v>
      </c>
      <c r="K330" s="38" t="str">
        <f>IF(ISTEXT([330]Hoja1!$A$23),[330]Hoja1!$A$23,"")</f>
        <v/>
      </c>
    </row>
    <row r="331" spans="2:11" x14ac:dyDescent="0.45">
      <c r="B331" s="39" t="s">
        <v>370</v>
      </c>
      <c r="C331" s="35" t="str">
        <f>[331]Hoja1!$A$1</f>
        <v>750-11210I075</v>
      </c>
      <c r="D331" s="36" t="str">
        <f>[331]Hoja1!$C$1</f>
        <v>coj. Bancada lado volante LPW- I 075</v>
      </c>
      <c r="E331" s="36">
        <f>[331]Hoja1!$I$1</f>
        <v>0</v>
      </c>
      <c r="F331" s="36">
        <f>[331]Hoja1!$I$2</f>
        <v>2</v>
      </c>
      <c r="G331" s="36">
        <f>[331]Hoja1!$E$22</f>
        <v>0</v>
      </c>
      <c r="H331" s="36">
        <f>[331]Hoja1!$H$22</f>
        <v>2</v>
      </c>
      <c r="I331" s="36">
        <f t="shared" si="5"/>
        <v>2</v>
      </c>
      <c r="J331" s="37">
        <f>MAX([331]Hoja1!$A$5:$A$22)</f>
        <v>44043</v>
      </c>
      <c r="K331" s="38" t="str">
        <f>IF(ISTEXT([331]Hoja1!$A$23),[331]Hoja1!$A$23,"")</f>
        <v/>
      </c>
    </row>
    <row r="332" spans="2:11" x14ac:dyDescent="0.45">
      <c r="B332" s="39" t="s">
        <v>371</v>
      </c>
      <c r="C332" s="35" t="str">
        <f>[332]Hoja1!$A$1</f>
        <v>750-11210I100</v>
      </c>
      <c r="D332" s="36" t="str">
        <f>[332]Hoja1!$C$1</f>
        <v>coj. Bancada lado volante LPW I 100</v>
      </c>
      <c r="E332" s="36">
        <f>[332]Hoja1!$I$1</f>
        <v>0</v>
      </c>
      <c r="F332" s="36">
        <f>[332]Hoja1!$I$2</f>
        <v>2</v>
      </c>
      <c r="G332" s="36">
        <f>[332]Hoja1!$E$22</f>
        <v>0</v>
      </c>
      <c r="H332" s="36">
        <f>[332]Hoja1!$H$22</f>
        <v>4</v>
      </c>
      <c r="I332" s="36">
        <f t="shared" si="5"/>
        <v>4</v>
      </c>
      <c r="J332" s="37">
        <f>MAX([332]Hoja1!$A$5:$A$22)</f>
        <v>44043</v>
      </c>
      <c r="K332" s="38" t="str">
        <f>IF(ISTEXT([332]Hoja1!$A$23),[332]Hoja1!$A$23,"")</f>
        <v/>
      </c>
    </row>
    <row r="333" spans="2:11" x14ac:dyDescent="0.45">
      <c r="B333" s="39" t="s">
        <v>372</v>
      </c>
      <c r="C333" s="35" t="str">
        <f>[333]Hoja1!$A$1</f>
        <v>750-11230I</v>
      </c>
      <c r="D333" s="36" t="str">
        <f>[333]Hoja1!$C$1</f>
        <v>ki`t cojinetes axiales  LPW</v>
      </c>
      <c r="E333" s="36">
        <f>[333]Hoja1!$I$1</f>
        <v>0</v>
      </c>
      <c r="F333" s="36">
        <f>[333]Hoja1!$I$2</f>
        <v>2</v>
      </c>
      <c r="G333" s="36">
        <f>[333]Hoja1!$E$22</f>
        <v>2</v>
      </c>
      <c r="H333" s="36">
        <f>[333]Hoja1!$H$22</f>
        <v>4</v>
      </c>
      <c r="I333" s="36">
        <f t="shared" si="5"/>
        <v>6</v>
      </c>
      <c r="J333" s="37">
        <f>MAX([333]Hoja1!$A$5:$A$22)</f>
        <v>44116</v>
      </c>
      <c r="K333" s="38" t="str">
        <f>IF(ISTEXT([333]Hoja1!$A$23),[333]Hoja1!$A$23,"")</f>
        <v/>
      </c>
    </row>
    <row r="334" spans="2:11" x14ac:dyDescent="0.45">
      <c r="B334" s="45" t="s">
        <v>373</v>
      </c>
      <c r="C334" s="35" t="str">
        <f>[334]Hoja1!$A$1</f>
        <v>750-11240 I</v>
      </c>
      <c r="D334" s="36" t="str">
        <f>[334]Hoja1!$C$1</f>
        <v>coj. Bancada lado engranajes LPW    I</v>
      </c>
      <c r="E334" s="36">
        <f>[334]Hoja1!$I$1</f>
        <v>0</v>
      </c>
      <c r="F334" s="36">
        <f>[334]Hoja1!$I$2</f>
        <v>2</v>
      </c>
      <c r="G334" s="36">
        <f>[334]Hoja1!$E$22</f>
        <v>1</v>
      </c>
      <c r="H334" s="36">
        <f>[334]Hoja1!$H$22</f>
        <v>9</v>
      </c>
      <c r="I334" s="36">
        <f t="shared" si="5"/>
        <v>10</v>
      </c>
      <c r="J334" s="37">
        <f>MAX([334]Hoja1!$A$5:$A$22)</f>
        <v>44116</v>
      </c>
      <c r="K334" s="38" t="str">
        <f>IF(ISTEXT([334]Hoja1!$A$23),[334]Hoja1!$A$23,"")</f>
        <v/>
      </c>
    </row>
    <row r="335" spans="2:11" x14ac:dyDescent="0.45">
      <c r="B335" s="39" t="s">
        <v>374</v>
      </c>
      <c r="C335" s="35" t="str">
        <f>[335]Hoja1!$A$1</f>
        <v>750-11240I025</v>
      </c>
      <c r="D335" s="36" t="str">
        <f>[335]Hoja1!$C$1</f>
        <v>coj. Bancada lado engranajes LPW</v>
      </c>
      <c r="E335" s="36">
        <f>[335]Hoja1!$I$1</f>
        <v>0</v>
      </c>
      <c r="F335" s="36">
        <f>[335]Hoja1!$I$2</f>
        <v>2</v>
      </c>
      <c r="G335" s="36">
        <f>[335]Hoja1!$E$22</f>
        <v>1</v>
      </c>
      <c r="H335" s="36">
        <f>[335]Hoja1!$H$22</f>
        <v>13</v>
      </c>
      <c r="I335" s="36">
        <f t="shared" si="5"/>
        <v>14</v>
      </c>
      <c r="J335" s="37">
        <f>MAX([335]Hoja1!$A$5:$A$22)</f>
        <v>44116</v>
      </c>
      <c r="K335" s="38" t="str">
        <f>IF(ISTEXT([335]Hoja1!$A$23),[335]Hoja1!$A$23,"")</f>
        <v/>
      </c>
    </row>
    <row r="336" spans="2:11" x14ac:dyDescent="0.45">
      <c r="B336" s="39" t="s">
        <v>375</v>
      </c>
      <c r="C336" s="35" t="str">
        <f>[336]Hoja1!$A$1</f>
        <v>750-11240I050</v>
      </c>
      <c r="D336" s="36" t="str">
        <f>[336]Hoja1!$C$1</f>
        <v>coj. Bancada lado engranajes LPW I 050</v>
      </c>
      <c r="E336" s="36">
        <f>[336]Hoja1!$I$1</f>
        <v>0</v>
      </c>
      <c r="F336" s="36">
        <f>[336]Hoja1!$I$2</f>
        <v>2</v>
      </c>
      <c r="G336" s="36">
        <f>[336]Hoja1!$E$22</f>
        <v>1</v>
      </c>
      <c r="H336" s="36">
        <f>[336]Hoja1!$H$22</f>
        <v>4</v>
      </c>
      <c r="I336" s="36">
        <f t="shared" si="5"/>
        <v>5</v>
      </c>
      <c r="J336" s="37">
        <f>MAX([336]Hoja1!$A$5:$A$22)</f>
        <v>44116</v>
      </c>
      <c r="K336" s="38" t="str">
        <f>IF(ISTEXT([336]Hoja1!$A$23),[336]Hoja1!$A$23,"")</f>
        <v/>
      </c>
    </row>
    <row r="337" spans="2:11" x14ac:dyDescent="0.45">
      <c r="B337" s="39" t="s">
        <v>376</v>
      </c>
      <c r="C337" s="35" t="str">
        <f>[337]Hoja1!$A$1</f>
        <v>750-11240I100</v>
      </c>
      <c r="D337" s="36" t="str">
        <f>[337]Hoja1!$C$1</f>
        <v>coj. Bancada lado engranajes LPW</v>
      </c>
      <c r="E337" s="36">
        <f>[337]Hoja1!$I$1</f>
        <v>0</v>
      </c>
      <c r="F337" s="36">
        <f>[337]Hoja1!$I$2</f>
        <v>2</v>
      </c>
      <c r="G337" s="36">
        <f>[337]Hoja1!$E$22</f>
        <v>0</v>
      </c>
      <c r="H337" s="36">
        <f>[337]Hoja1!$H$22</f>
        <v>4</v>
      </c>
      <c r="I337" s="36">
        <f t="shared" si="5"/>
        <v>4</v>
      </c>
      <c r="J337" s="37">
        <f>MAX([337]Hoja1!$A$5:$A$22)</f>
        <v>44116</v>
      </c>
      <c r="K337" s="38" t="str">
        <f>IF(ISTEXT([337]Hoja1!$A$23),[337]Hoja1!$A$23,"")</f>
        <v/>
      </c>
    </row>
    <row r="338" spans="2:11" x14ac:dyDescent="0.45">
      <c r="B338" s="45" t="s">
        <v>377</v>
      </c>
      <c r="C338" s="35" t="str">
        <f>[338]Hoja1!$A$1</f>
        <v>750-11230I</v>
      </c>
      <c r="D338" s="36" t="str">
        <f>[338]Hoja1!$C$1</f>
        <v>kit cojintes axiales LPW</v>
      </c>
      <c r="E338" s="36">
        <f>[338]Hoja1!$I$1</f>
        <v>0</v>
      </c>
      <c r="F338" s="36">
        <f>[338]Hoja1!$I$2</f>
        <v>2</v>
      </c>
      <c r="G338" s="36">
        <f>[338]Hoja1!$E$22</f>
        <v>0</v>
      </c>
      <c r="H338" s="36">
        <f>[338]Hoja1!$H$22</f>
        <v>5</v>
      </c>
      <c r="I338" s="36">
        <f t="shared" si="5"/>
        <v>5</v>
      </c>
      <c r="J338" s="37">
        <f>MAX([338]Hoja1!$A$5:$A$22)</f>
        <v>44043</v>
      </c>
      <c r="K338" s="38" t="str">
        <f>IF(ISTEXT([338]Hoja1!$A$23),[338]Hoja1!$A$23,"")</f>
        <v/>
      </c>
    </row>
    <row r="339" spans="2:11" x14ac:dyDescent="0.45">
      <c r="B339" s="39" t="s">
        <v>378</v>
      </c>
      <c r="C339" s="35" t="str">
        <f>[339]Hoja1!$A$1</f>
        <v>750-11250I</v>
      </c>
      <c r="D339" s="36" t="str">
        <f>[339]Hoja1!$C$1</f>
        <v>cojinete central LPW  I</v>
      </c>
      <c r="E339" s="36">
        <f>[339]Hoja1!$I$1</f>
        <v>0</v>
      </c>
      <c r="F339" s="36">
        <f>[339]Hoja1!$I$2</f>
        <v>2</v>
      </c>
      <c r="G339" s="36">
        <f>[339]Hoja1!$E$22</f>
        <v>3</v>
      </c>
      <c r="H339" s="36">
        <f>[339]Hoja1!$H$22</f>
        <v>4</v>
      </c>
      <c r="I339" s="36">
        <f t="shared" si="5"/>
        <v>7</v>
      </c>
      <c r="J339" s="37">
        <f>MAX([339]Hoja1!$A$5:$A$22)</f>
        <v>44136</v>
      </c>
      <c r="K339" s="38" t="str">
        <f>IF(ISTEXT([339]Hoja1!$A$23),[339]Hoja1!$A$23,"")</f>
        <v/>
      </c>
    </row>
    <row r="340" spans="2:11" x14ac:dyDescent="0.45">
      <c r="B340" s="39" t="s">
        <v>379</v>
      </c>
      <c r="C340" s="35" t="str">
        <f>[340]Hoja1!$A$1</f>
        <v>750-11250I025</v>
      </c>
      <c r="D340" s="36" t="str">
        <f>[340]Hoja1!$C$1</f>
        <v>cojinete central LPW I 025</v>
      </c>
      <c r="E340" s="36">
        <f>[340]Hoja1!$I$1</f>
        <v>0</v>
      </c>
      <c r="F340" s="36">
        <f>[340]Hoja1!$I$2</f>
        <v>2</v>
      </c>
      <c r="G340" s="36">
        <f>[340]Hoja1!$E$22</f>
        <v>0</v>
      </c>
      <c r="H340" s="36">
        <f>[340]Hoja1!$H$22</f>
        <v>6</v>
      </c>
      <c r="I340" s="36">
        <f t="shared" si="5"/>
        <v>6</v>
      </c>
      <c r="J340" s="37">
        <f>MAX([340]Hoja1!$A$5:$A$22)</f>
        <v>44116</v>
      </c>
      <c r="K340" s="38" t="str">
        <f>IF(ISTEXT([340]Hoja1!$A$23),[340]Hoja1!$A$23,"")</f>
        <v/>
      </c>
    </row>
    <row r="341" spans="2:11" x14ac:dyDescent="0.45">
      <c r="B341" s="45" t="s">
        <v>380</v>
      </c>
      <c r="C341" s="35" t="str">
        <f>[341]Hoja1!$A$1</f>
        <v>750-11250I 050</v>
      </c>
      <c r="D341" s="36" t="str">
        <f>[341]Hoja1!$C$1</f>
        <v xml:space="preserve">cojinete central LPW I 050 </v>
      </c>
      <c r="E341" s="36">
        <f>[341]Hoja1!$I$1</f>
        <v>0</v>
      </c>
      <c r="F341" s="36">
        <f>[341]Hoja1!$I$2</f>
        <v>2</v>
      </c>
      <c r="G341" s="36">
        <f>[341]Hoja1!$E$22</f>
        <v>0</v>
      </c>
      <c r="H341" s="36">
        <f>[341]Hoja1!$H$22</f>
        <v>10</v>
      </c>
      <c r="I341" s="36">
        <f t="shared" si="5"/>
        <v>10</v>
      </c>
      <c r="J341" s="37">
        <f>MAX([341]Hoja1!$A$5:$A$22)</f>
        <v>44116</v>
      </c>
      <c r="K341" s="38" t="str">
        <f>IF(ISTEXT([341]Hoja1!$A$23),[341]Hoja1!$A$23,"")</f>
        <v/>
      </c>
    </row>
    <row r="342" spans="2:11" x14ac:dyDescent="0.45">
      <c r="B342" s="39" t="s">
        <v>381</v>
      </c>
      <c r="C342" s="35" t="str">
        <f>[342]Hoja1!$A$1</f>
        <v>750-11250I100</v>
      </c>
      <c r="D342" s="36" t="str">
        <f>[342]Hoja1!$C$1</f>
        <v>cojinete central LPW I100</v>
      </c>
      <c r="E342" s="36">
        <f>[342]Hoja1!$I$1</f>
        <v>0</v>
      </c>
      <c r="F342" s="36">
        <f>[342]Hoja1!$I$2</f>
        <v>2</v>
      </c>
      <c r="G342" s="36">
        <f>[342]Hoja1!$E$22</f>
        <v>0</v>
      </c>
      <c r="H342" s="36">
        <f>[342]Hoja1!$H$22</f>
        <v>10</v>
      </c>
      <c r="I342" s="36">
        <f t="shared" si="5"/>
        <v>10</v>
      </c>
      <c r="J342" s="37">
        <f>MAX([342]Hoja1!$A$5:$A$22)</f>
        <v>44116</v>
      </c>
      <c r="K342" s="38" t="str">
        <f>IF(ISTEXT([342]Hoja1!$A$23),[342]Hoja1!$A$23,"")</f>
        <v/>
      </c>
    </row>
    <row r="343" spans="2:11" x14ac:dyDescent="0.45">
      <c r="B343" s="39" t="s">
        <v>382</v>
      </c>
      <c r="C343" s="35" t="str">
        <f>[343]Hoja1!$A$1</f>
        <v>750-11260I</v>
      </c>
      <c r="D343" s="36" t="str">
        <f>[343]Hoja1!$C$1</f>
        <v>cojinete de biela l LPW</v>
      </c>
      <c r="E343" s="36">
        <f>[343]Hoja1!$I$1</f>
        <v>0</v>
      </c>
      <c r="F343" s="36">
        <f>[343]Hoja1!$I$2</f>
        <v>2</v>
      </c>
      <c r="G343" s="36">
        <f>[343]Hoja1!$E$22</f>
        <v>14</v>
      </c>
      <c r="H343" s="36">
        <f>[343]Hoja1!$H$22</f>
        <v>-4</v>
      </c>
      <c r="I343" s="36">
        <f t="shared" si="5"/>
        <v>10</v>
      </c>
      <c r="J343" s="37">
        <f>MAX([343]Hoja1!$A$5:$A$22)</f>
        <v>44116</v>
      </c>
      <c r="K343" s="38" t="str">
        <f>IF(ISTEXT([343]Hoja1!$A$23),[343]Hoja1!$A$23,"")</f>
        <v/>
      </c>
    </row>
    <row r="344" spans="2:11" x14ac:dyDescent="0.45">
      <c r="B344" s="39" t="s">
        <v>383</v>
      </c>
      <c r="C344" s="35" t="str">
        <f>[344]Hoja1!$A$1</f>
        <v>750-11260I025</v>
      </c>
      <c r="D344" s="36" t="str">
        <f>[344]Hoja1!$C$1</f>
        <v>cojinete de biela LPW</v>
      </c>
      <c r="E344" s="36">
        <f>[344]Hoja1!$I$1</f>
        <v>0</v>
      </c>
      <c r="F344" s="36">
        <f>[344]Hoja1!$I$2</f>
        <v>2</v>
      </c>
      <c r="G344" s="36">
        <f>[344]Hoja1!$E$22</f>
        <v>0</v>
      </c>
      <c r="H344" s="36">
        <f>[344]Hoja1!$H$22</f>
        <v>8</v>
      </c>
      <c r="I344" s="36">
        <f t="shared" si="5"/>
        <v>8</v>
      </c>
      <c r="J344" s="37">
        <f>MAX([344]Hoja1!$A$5:$A$22)</f>
        <v>44116</v>
      </c>
      <c r="K344" s="38" t="str">
        <f>IF(ISTEXT([344]Hoja1!$A$23),[344]Hoja1!$A$23,"")</f>
        <v/>
      </c>
    </row>
    <row r="345" spans="2:11" x14ac:dyDescent="0.45">
      <c r="B345" s="39" t="s">
        <v>384</v>
      </c>
      <c r="C345" s="35" t="str">
        <f>[345]Hoja1!$A$1</f>
        <v>750-11260I050</v>
      </c>
      <c r="D345" s="36" t="str">
        <f>[345]Hoja1!$C$1</f>
        <v>cojinete de biela LPW</v>
      </c>
      <c r="E345" s="36">
        <f>[345]Hoja1!$I$1</f>
        <v>0</v>
      </c>
      <c r="F345" s="36">
        <f>[345]Hoja1!$I$2</f>
        <v>2</v>
      </c>
      <c r="G345" s="36">
        <f>[345]Hoja1!$E$22</f>
        <v>2</v>
      </c>
      <c r="H345" s="36">
        <f>[345]Hoja1!$H$22</f>
        <v>10</v>
      </c>
      <c r="I345" s="36">
        <f t="shared" si="5"/>
        <v>12</v>
      </c>
      <c r="J345" s="37">
        <f>MAX([345]Hoja1!$A$5:$A$22)</f>
        <v>44136</v>
      </c>
      <c r="K345" s="38" t="str">
        <f>IF(ISTEXT([345]Hoja1!$A$23),[345]Hoja1!$A$23,"")</f>
        <v/>
      </c>
    </row>
    <row r="346" spans="2:11" x14ac:dyDescent="0.45">
      <c r="B346" s="39" t="s">
        <v>385</v>
      </c>
      <c r="C346" s="35" t="str">
        <f>[346]Hoja1!$A$1</f>
        <v>750-11260I100</v>
      </c>
      <c r="D346" s="36" t="str">
        <f>[346]Hoja1!$C$1</f>
        <v>cojinete de biela LPW</v>
      </c>
      <c r="E346" s="36">
        <f>[346]Hoja1!$I$1</f>
        <v>0</v>
      </c>
      <c r="F346" s="36">
        <f>[346]Hoja1!$I$2</f>
        <v>2</v>
      </c>
      <c r="G346" s="36">
        <f>[346]Hoja1!$E$22</f>
        <v>0</v>
      </c>
      <c r="H346" s="36">
        <f>[346]Hoja1!$H$22</f>
        <v>8</v>
      </c>
      <c r="I346" s="36">
        <f t="shared" si="5"/>
        <v>8</v>
      </c>
      <c r="J346" s="37">
        <f>MAX([346]Hoja1!$A$5:$A$22)</f>
        <v>44116</v>
      </c>
      <c r="K346" s="38" t="str">
        <f>IF(ISTEXT([346]Hoja1!$A$23),[346]Hoja1!$A$23,"")</f>
        <v/>
      </c>
    </row>
    <row r="347" spans="2:11" x14ac:dyDescent="0.45">
      <c r="B347" s="39" t="s">
        <v>386</v>
      </c>
      <c r="C347" s="35" t="str">
        <f>[347]Hoja1!$A$1</f>
        <v>750-11280I</v>
      </c>
      <c r="D347" s="36" t="str">
        <f>[347]Hoja1!$C$1</f>
        <v>balancin de valvula con pivor LPW</v>
      </c>
      <c r="E347" s="36">
        <f>[347]Hoja1!$I$1</f>
        <v>0</v>
      </c>
      <c r="F347" s="36">
        <f>[347]Hoja1!$I$2</f>
        <v>2</v>
      </c>
      <c r="G347" s="36">
        <f>[347]Hoja1!$E$22</f>
        <v>0</v>
      </c>
      <c r="H347" s="36">
        <f>[347]Hoja1!$H$22</f>
        <v>10</v>
      </c>
      <c r="I347" s="36">
        <f t="shared" si="5"/>
        <v>10</v>
      </c>
      <c r="J347" s="37">
        <f>MAX([347]Hoja1!$A$5:$A$22)</f>
        <v>44043</v>
      </c>
      <c r="K347" s="38" t="str">
        <f>IF(ISTEXT([347]Hoja1!$A$23),[347]Hoja1!$A$23,"")</f>
        <v/>
      </c>
    </row>
    <row r="348" spans="2:11" x14ac:dyDescent="0.45">
      <c r="B348" s="39" t="s">
        <v>387</v>
      </c>
      <c r="C348" s="35" t="str">
        <f>[348]Hoja1!$A$1</f>
        <v>750-11320I</v>
      </c>
      <c r="D348" s="36" t="str">
        <f>[348]Hoja1!$C$1</f>
        <v xml:space="preserve"> kit junta cabeza  LPA</v>
      </c>
      <c r="E348" s="36">
        <f>[348]Hoja1!$I$1</f>
        <v>0</v>
      </c>
      <c r="F348" s="36">
        <f>[348]Hoja1!$I$2</f>
        <v>2</v>
      </c>
      <c r="G348" s="36">
        <f>[348]Hoja1!$E$22</f>
        <v>0</v>
      </c>
      <c r="H348" s="36">
        <f>[348]Hoja1!$H$22</f>
        <v>4</v>
      </c>
      <c r="I348" s="36">
        <f t="shared" si="5"/>
        <v>4</v>
      </c>
      <c r="J348" s="37">
        <f>MAX([348]Hoja1!$A$5:$A$22)</f>
        <v>44043</v>
      </c>
      <c r="K348" s="38" t="str">
        <f>IF(ISTEXT([348]Hoja1!$A$23),[348]Hoja1!$A$23,"")</f>
        <v/>
      </c>
    </row>
    <row r="349" spans="2:11" x14ac:dyDescent="0.45">
      <c r="B349" s="39" t="s">
        <v>388</v>
      </c>
      <c r="C349" s="35" t="str">
        <f>[349]Hoja1!$A$1</f>
        <v>750-11330I</v>
      </c>
      <c r="D349" s="36" t="str">
        <f>[349]Hoja1!$C$1</f>
        <v>kit suplementos de bba inyectora LPW</v>
      </c>
      <c r="E349" s="36">
        <f>[349]Hoja1!$I$1</f>
        <v>0</v>
      </c>
      <c r="F349" s="36">
        <f>[349]Hoja1!$I$2</f>
        <v>2</v>
      </c>
      <c r="G349" s="36">
        <f>[349]Hoja1!$E$22</f>
        <v>0</v>
      </c>
      <c r="H349" s="36">
        <f>[349]Hoja1!$H$22</f>
        <v>4</v>
      </c>
      <c r="I349" s="36">
        <f t="shared" si="5"/>
        <v>4</v>
      </c>
      <c r="J349" s="37">
        <f>MAX([349]Hoja1!$A$5:$A$22)</f>
        <v>44043</v>
      </c>
      <c r="K349" s="38" t="str">
        <f>IF(ISTEXT([349]Hoja1!$A$23),[349]Hoja1!$A$23,"")</f>
        <v/>
      </c>
    </row>
    <row r="350" spans="2:11" x14ac:dyDescent="0.45">
      <c r="B350" s="39" t="s">
        <v>389</v>
      </c>
      <c r="C350" s="35" t="str">
        <f>[350]Hoja1!$A$1</f>
        <v>750-11340I</v>
      </c>
      <c r="D350" s="36" t="str">
        <f>[350]Hoja1!$C$1</f>
        <v>kit tapones extremo a. levas   LPW</v>
      </c>
      <c r="E350" s="36">
        <f>[350]Hoja1!$I$1</f>
        <v>0</v>
      </c>
      <c r="F350" s="36">
        <f>[350]Hoja1!$I$2</f>
        <v>2</v>
      </c>
      <c r="G350" s="36">
        <f>[350]Hoja1!$E$22</f>
        <v>0</v>
      </c>
      <c r="H350" s="36">
        <f>[350]Hoja1!$H$22</f>
        <v>1</v>
      </c>
      <c r="I350" s="36">
        <f t="shared" si="5"/>
        <v>1</v>
      </c>
      <c r="J350" s="37">
        <f>MAX([350]Hoja1!$A$5:$A$22)</f>
        <v>44043</v>
      </c>
      <c r="K350" s="38" t="str">
        <f>IF(ISTEXT([350]Hoja1!$A$23),[350]Hoja1!$A$23,"")</f>
        <v/>
      </c>
    </row>
    <row r="351" spans="2:11" x14ac:dyDescent="0.45">
      <c r="B351" s="39" t="s">
        <v>390</v>
      </c>
      <c r="C351" s="35" t="str">
        <f>[351]Hoja1!$A$1</f>
        <v>750-11350I</v>
      </c>
      <c r="D351" s="36" t="str">
        <f>[351]Hoja1!$C$1</f>
        <v>kit perno del regulad con reten  LPW</v>
      </c>
      <c r="E351" s="36">
        <f>[351]Hoja1!$I$1</f>
        <v>0</v>
      </c>
      <c r="F351" s="36">
        <f>[351]Hoja1!$I$2</f>
        <v>2</v>
      </c>
      <c r="G351" s="36">
        <f>[351]Hoja1!$E$22</f>
        <v>0</v>
      </c>
      <c r="H351" s="36">
        <f>[351]Hoja1!$H$22</f>
        <v>5</v>
      </c>
      <c r="I351" s="36">
        <f t="shared" si="5"/>
        <v>5</v>
      </c>
      <c r="J351" s="37">
        <f>MAX([351]Hoja1!$A$5:$A$22)</f>
        <v>44043</v>
      </c>
      <c r="K351" s="38" t="str">
        <f>IF(ISTEXT([351]Hoja1!$A$23),[351]Hoja1!$A$23,"")</f>
        <v/>
      </c>
    </row>
    <row r="352" spans="2:11" x14ac:dyDescent="0.45">
      <c r="B352" s="39" t="s">
        <v>391</v>
      </c>
      <c r="C352" s="35" t="str">
        <f>[352]Hoja1!$A$1</f>
        <v>750-11371I</v>
      </c>
      <c r="D352" s="36" t="str">
        <f>[352]Hoja1!$C$1</f>
        <v>kit cuadrante control de velocidad  LPW</v>
      </c>
      <c r="E352" s="36">
        <f>[352]Hoja1!$I$1</f>
        <v>0</v>
      </c>
      <c r="F352" s="36">
        <f>[352]Hoja1!$I$2</f>
        <v>2</v>
      </c>
      <c r="G352" s="36">
        <f>[352]Hoja1!$E$22</f>
        <v>0</v>
      </c>
      <c r="H352" s="36">
        <f>[352]Hoja1!$H$22</f>
        <v>1</v>
      </c>
      <c r="I352" s="36">
        <f t="shared" si="5"/>
        <v>1</v>
      </c>
      <c r="J352" s="37">
        <f>MAX([352]Hoja1!$A$5:$A$22)</f>
        <v>44043</v>
      </c>
      <c r="K352" s="38" t="str">
        <f>IF(ISTEXT([352]Hoja1!$A$23),[352]Hoja1!$A$23,"")</f>
        <v/>
      </c>
    </row>
    <row r="353" spans="2:11" x14ac:dyDescent="0.45">
      <c r="B353" s="39" t="s">
        <v>392</v>
      </c>
      <c r="C353" s="35" t="str">
        <f>[353]Hoja1!$A$1</f>
        <v>750-11390I</v>
      </c>
      <c r="D353" s="36" t="str">
        <f>[353]Hoja1!$C$1</f>
        <v>kit tapones de expansión  LPW</v>
      </c>
      <c r="E353" s="36">
        <f>[353]Hoja1!$I$1</f>
        <v>0</v>
      </c>
      <c r="F353" s="36">
        <f>[353]Hoja1!$I$2</f>
        <v>2</v>
      </c>
      <c r="G353" s="36">
        <f>[353]Hoja1!$E$22</f>
        <v>0</v>
      </c>
      <c r="H353" s="36">
        <f>[353]Hoja1!$H$22</f>
        <v>3</v>
      </c>
      <c r="I353" s="36">
        <f t="shared" si="5"/>
        <v>3</v>
      </c>
      <c r="J353" s="37">
        <f>MAX([353]Hoja1!$A$5:$A$22)</f>
        <v>44043</v>
      </c>
      <c r="K353" s="38" t="str">
        <f>IF(ISTEXT([353]Hoja1!$A$23),[353]Hoja1!$A$23,"")</f>
        <v/>
      </c>
    </row>
    <row r="354" spans="2:11" x14ac:dyDescent="0.45">
      <c r="B354" s="39" t="s">
        <v>393</v>
      </c>
      <c r="C354" s="35" t="str">
        <f>[354]Hoja1!$A$1</f>
        <v>750-11401I</v>
      </c>
      <c r="D354" s="36" t="str">
        <f>[354]Hoja1!$C$1</f>
        <v>jgo aros  1ra. serie  LPW</v>
      </c>
      <c r="E354" s="36">
        <f>[354]Hoja1!$I$1</f>
        <v>0</v>
      </c>
      <c r="F354" s="36">
        <f>[354]Hoja1!$I$2</f>
        <v>2</v>
      </c>
      <c r="G354" s="36">
        <f>[354]Hoja1!$E$22</f>
        <v>0</v>
      </c>
      <c r="H354" s="36">
        <f>[354]Hoja1!$H$22</f>
        <v>2</v>
      </c>
      <c r="I354" s="36">
        <f t="shared" si="5"/>
        <v>2</v>
      </c>
      <c r="J354" s="37">
        <f>MAX([354]Hoja1!$A$5:$A$22)</f>
        <v>44043</v>
      </c>
      <c r="K354" s="38" t="str">
        <f>IF(ISTEXT([354]Hoja1!$A$23),[354]Hoja1!$A$23,"")</f>
        <v/>
      </c>
    </row>
    <row r="355" spans="2:11" x14ac:dyDescent="0.45">
      <c r="B355" s="39" t="s">
        <v>394</v>
      </c>
      <c r="C355" s="35" t="str">
        <f>[355]Hoja1!$A$1</f>
        <v>750-11401I025</v>
      </c>
      <c r="D355" s="36" t="str">
        <f>[355]Hoja1!$C$1</f>
        <v>jgo aros  1ra. serie  LPW</v>
      </c>
      <c r="E355" s="36">
        <f>[355]Hoja1!$I$1</f>
        <v>0</v>
      </c>
      <c r="F355" s="36">
        <f>[355]Hoja1!$I$2</f>
        <v>2</v>
      </c>
      <c r="G355" s="36">
        <f>[355]Hoja1!$E$22</f>
        <v>0</v>
      </c>
      <c r="H355" s="36">
        <f>[355]Hoja1!$H$22</f>
        <v>4</v>
      </c>
      <c r="I355" s="36">
        <f t="shared" si="5"/>
        <v>4</v>
      </c>
      <c r="J355" s="37">
        <f>MAX([355]Hoja1!$A$5:$A$22)</f>
        <v>44043</v>
      </c>
      <c r="K355" s="38" t="str">
        <f>IF(ISTEXT([355]Hoja1!$A$23),[355]Hoja1!$A$23,"")</f>
        <v/>
      </c>
    </row>
    <row r="356" spans="2:11" x14ac:dyDescent="0.45">
      <c r="B356" s="39" t="s">
        <v>395</v>
      </c>
      <c r="C356" s="35" t="str">
        <f>[356]Hoja1!$A$1</f>
        <v>750-11430I</v>
      </c>
      <c r="D356" s="36" t="str">
        <f>[356]Hoja1!$C$1</f>
        <v>kit  palancas  LPW</v>
      </c>
      <c r="E356" s="36">
        <f>[356]Hoja1!$I$1</f>
        <v>0</v>
      </c>
      <c r="F356" s="36">
        <f>[356]Hoja1!$I$2</f>
        <v>2</v>
      </c>
      <c r="G356" s="36">
        <f>[356]Hoja1!$E$22</f>
        <v>0</v>
      </c>
      <c r="H356" s="36">
        <f>[356]Hoja1!$H$22</f>
        <v>1</v>
      </c>
      <c r="I356" s="36">
        <f t="shared" si="5"/>
        <v>1</v>
      </c>
      <c r="J356" s="37">
        <f>MAX([356]Hoja1!$A$5:$A$22)</f>
        <v>44043</v>
      </c>
      <c r="K356" s="38" t="str">
        <f>IF(ISTEXT([356]Hoja1!$A$23),[356]Hoja1!$A$23,"")</f>
        <v/>
      </c>
    </row>
    <row r="357" spans="2:11" x14ac:dyDescent="0.45">
      <c r="B357" s="39" t="s">
        <v>396</v>
      </c>
      <c r="C357" s="35" t="str">
        <f>[357]Hoja1!$A$1</f>
        <v>750-11461I</v>
      </c>
      <c r="D357" s="36" t="str">
        <f>[357]Hoja1!$C$1</f>
        <v>cjto cigüeñal  LPW4 (torn vol xx)</v>
      </c>
      <c r="E357" s="36">
        <f>[357]Hoja1!$I$1</f>
        <v>0</v>
      </c>
      <c r="F357" s="36">
        <f>[357]Hoja1!$I$2</f>
        <v>2</v>
      </c>
      <c r="G357" s="36">
        <f>[357]Hoja1!$E$22</f>
        <v>0</v>
      </c>
      <c r="H357" s="36">
        <f>[357]Hoja1!$H$22</f>
        <v>0</v>
      </c>
      <c r="I357" s="36">
        <f t="shared" si="5"/>
        <v>0</v>
      </c>
      <c r="J357" s="37">
        <f>MAX([357]Hoja1!$A$5:$A$22)</f>
        <v>44043</v>
      </c>
      <c r="K357" s="38" t="str">
        <f>IF(ISTEXT([357]Hoja1!$A$23),[357]Hoja1!$A$23,"")</f>
        <v>para tornillos de volante XXXXXXXXXXX</v>
      </c>
    </row>
    <row r="358" spans="2:11" x14ac:dyDescent="0.45">
      <c r="B358" s="39" t="s">
        <v>397</v>
      </c>
      <c r="C358" s="35" t="str">
        <f>[358]Hoja1!$A$1</f>
        <v>750-11873I</v>
      </c>
      <c r="D358" s="36" t="str">
        <f>[358]Hoja1!$C$1</f>
        <v>botador de bba inyctora LPW</v>
      </c>
      <c r="E358" s="36">
        <f>[358]Hoja1!$I$1</f>
        <v>0</v>
      </c>
      <c r="F358" s="36">
        <f>[358]Hoja1!$I$2</f>
        <v>2</v>
      </c>
      <c r="G358" s="36">
        <f>[358]Hoja1!$E$22</f>
        <v>0</v>
      </c>
      <c r="H358" s="36">
        <f>[358]Hoja1!$H$22</f>
        <v>9</v>
      </c>
      <c r="I358" s="36">
        <f t="shared" si="5"/>
        <v>9</v>
      </c>
      <c r="J358" s="37">
        <f>MAX([358]Hoja1!$A$5:$A$22)</f>
        <v>44043</v>
      </c>
      <c r="K358" s="38" t="str">
        <f>IF(ISTEXT([358]Hoja1!$A$23),[358]Hoja1!$A$23,"")</f>
        <v/>
      </c>
    </row>
    <row r="359" spans="2:11" x14ac:dyDescent="0.45">
      <c r="B359" s="45" t="s">
        <v>398</v>
      </c>
      <c r="C359" s="35" t="str">
        <f>[359]Hoja1!$A$1</f>
        <v>750-12021I</v>
      </c>
      <c r="D359" s="36" t="str">
        <f>[359]Hoja1!$C$1</f>
        <v>bomb de aceite LPW</v>
      </c>
      <c r="E359" s="36">
        <f>[359]Hoja1!$I$1</f>
        <v>0</v>
      </c>
      <c r="F359" s="36">
        <f>[359]Hoja1!$I$2</f>
        <v>2</v>
      </c>
      <c r="G359" s="36">
        <f>[359]Hoja1!$E$22</f>
        <v>1</v>
      </c>
      <c r="H359" s="36">
        <f>[359]Hoja1!$H$22</f>
        <v>0</v>
      </c>
      <c r="I359" s="36">
        <f t="shared" si="5"/>
        <v>1</v>
      </c>
      <c r="J359" s="37">
        <f>MAX([359]Hoja1!$A$5:$A$22)</f>
        <v>44135</v>
      </c>
      <c r="K359" s="38" t="str">
        <f>IF(ISTEXT([359]Hoja1!$A$23),[359]Hoja1!$A$23,"")</f>
        <v/>
      </c>
    </row>
    <row r="360" spans="2:11" x14ac:dyDescent="0.45">
      <c r="B360" s="39" t="s">
        <v>399</v>
      </c>
      <c r="C360" s="35" t="str">
        <f>[360]Hoja1!$A$1</f>
        <v>750-12038I</v>
      </c>
      <c r="D360" s="36" t="str">
        <f>[360]Hoja1!$C$1</f>
        <v>arbol de levas  LPW4</v>
      </c>
      <c r="E360" s="36">
        <f>[360]Hoja1!$I$1</f>
        <v>0</v>
      </c>
      <c r="F360" s="36">
        <f>[360]Hoja1!$I$2</f>
        <v>2</v>
      </c>
      <c r="G360" s="36">
        <f>[360]Hoja1!$E$22</f>
        <v>0</v>
      </c>
      <c r="H360" s="36">
        <f>[360]Hoja1!$H$22</f>
        <v>1</v>
      </c>
      <c r="I360" s="36">
        <f t="shared" si="5"/>
        <v>1</v>
      </c>
      <c r="J360" s="37">
        <f>MAX([360]Hoja1!$A$5:$A$22)</f>
        <v>44043</v>
      </c>
      <c r="K360" s="38" t="str">
        <f>IF(ISTEXT([360]Hoja1!$A$23),[360]Hoja1!$A$23,"")</f>
        <v/>
      </c>
    </row>
    <row r="361" spans="2:11" x14ac:dyDescent="0.45">
      <c r="B361" s="39" t="s">
        <v>400</v>
      </c>
      <c r="C361" s="35" t="str">
        <f>[361]Hoja1!$A$1</f>
        <v>750-12432I</v>
      </c>
      <c r="D361" s="36" t="str">
        <f>[361]Hoja1!$C$1</f>
        <v>motor de arranque LPW</v>
      </c>
      <c r="E361" s="36">
        <f>[361]Hoja1!$I$1</f>
        <v>0</v>
      </c>
      <c r="F361" s="36">
        <f>[361]Hoja1!$I$2</f>
        <v>2</v>
      </c>
      <c r="G361" s="36">
        <f>[361]Hoja1!$E$22</f>
        <v>0</v>
      </c>
      <c r="H361" s="36">
        <f>[361]Hoja1!$H$22</f>
        <v>2</v>
      </c>
      <c r="I361" s="36">
        <f t="shared" si="5"/>
        <v>2</v>
      </c>
      <c r="J361" s="37">
        <f>MAX([361]Hoja1!$A$5:$A$22)</f>
        <v>44043</v>
      </c>
      <c r="K361" s="38" t="str">
        <f>IF(ISTEXT([361]Hoja1!$A$23),[361]Hoja1!$A$23,"")</f>
        <v/>
      </c>
    </row>
    <row r="362" spans="2:11" x14ac:dyDescent="0.45">
      <c r="B362" s="45" t="s">
        <v>401</v>
      </c>
      <c r="C362" s="35" t="str">
        <f>[362]Hoja1!$A$1</f>
        <v>750-12930 I</v>
      </c>
      <c r="D362" s="36" t="str">
        <f>[362]Hoja1!$C$1</f>
        <v xml:space="preserve"> SWITCH ALTA TEMP.  N  A *</v>
      </c>
      <c r="E362" s="36">
        <f>[362]Hoja1!$I$1</f>
        <v>0</v>
      </c>
      <c r="F362" s="36">
        <f>[362]Hoja1!$I$2</f>
        <v>2</v>
      </c>
      <c r="G362" s="36">
        <f>[362]Hoja1!$E$22</f>
        <v>0</v>
      </c>
      <c r="H362" s="36">
        <f>[362]Hoja1!$H$22</f>
        <v>0</v>
      </c>
      <c r="I362" s="36">
        <f t="shared" si="5"/>
        <v>0</v>
      </c>
      <c r="J362" s="37">
        <f>MAX([362]Hoja1!$A$5:$A$22)</f>
        <v>44043</v>
      </c>
      <c r="K362" s="38" t="str">
        <f>IF(ISTEXT([362]Hoja1!$A$23),[362]Hoja1!$A$23,"")</f>
        <v xml:space="preserve"> * INCLUYE 329-15140      PARA  BUILD  A27 Y A09 </v>
      </c>
    </row>
    <row r="363" spans="2:11" x14ac:dyDescent="0.45">
      <c r="B363" s="39" t="s">
        <v>402</v>
      </c>
      <c r="C363" s="35" t="str">
        <f>[363]Hoja1!$A$1</f>
        <v>750-13120I</v>
      </c>
      <c r="D363" s="36" t="str">
        <f>[363]Hoja1!$C$1</f>
        <v>jgo de aros LPW</v>
      </c>
      <c r="E363" s="36">
        <f>[363]Hoja1!$I$1</f>
        <v>0</v>
      </c>
      <c r="F363" s="36">
        <f>[363]Hoja1!$I$2</f>
        <v>2</v>
      </c>
      <c r="G363" s="36">
        <f>[363]Hoja1!$E$22</f>
        <v>4</v>
      </c>
      <c r="H363" s="36">
        <f>[363]Hoja1!$H$22</f>
        <v>9</v>
      </c>
      <c r="I363" s="36">
        <f t="shared" si="5"/>
        <v>13</v>
      </c>
      <c r="J363" s="37">
        <f>MAX([363]Hoja1!$A$5:$A$22)</f>
        <v>44116</v>
      </c>
      <c r="K363" s="38" t="str">
        <f>IF(ISTEXT([363]Hoja1!$A$23),[363]Hoja1!$A$23,"")</f>
        <v/>
      </c>
    </row>
    <row r="364" spans="2:11" x14ac:dyDescent="0.45">
      <c r="B364" s="39" t="s">
        <v>403</v>
      </c>
      <c r="C364" s="35" t="str">
        <f>[364]Hoja1!$A$1</f>
        <v>750-13120I025</v>
      </c>
      <c r="D364" s="36" t="str">
        <f>[364]Hoja1!$C$1</f>
        <v>jgo de aros LPW</v>
      </c>
      <c r="E364" s="36">
        <f>[364]Hoja1!$I$1</f>
        <v>0</v>
      </c>
      <c r="F364" s="36">
        <f>[364]Hoja1!$I$2</f>
        <v>2</v>
      </c>
      <c r="G364" s="36">
        <f>[364]Hoja1!$E$22</f>
        <v>0</v>
      </c>
      <c r="H364" s="36">
        <f>[364]Hoja1!$H$22</f>
        <v>15</v>
      </c>
      <c r="I364" s="36">
        <f t="shared" si="5"/>
        <v>15</v>
      </c>
      <c r="J364" s="37">
        <f>MAX([364]Hoja1!$A$5:$A$22)</f>
        <v>44116</v>
      </c>
      <c r="K364" s="38" t="str">
        <f>IF(ISTEXT([364]Hoja1!$A$23),[364]Hoja1!$A$23,"")</f>
        <v/>
      </c>
    </row>
    <row r="365" spans="2:11" x14ac:dyDescent="0.45">
      <c r="B365" s="39" t="s">
        <v>404</v>
      </c>
      <c r="C365" s="35" t="str">
        <f>[365]Hoja1!$A$1</f>
        <v>750-13120I050</v>
      </c>
      <c r="D365" s="36" t="str">
        <f>[365]Hoja1!$C$1</f>
        <v>jgo de aros LPW</v>
      </c>
      <c r="E365" s="36">
        <f>[365]Hoja1!$I$1</f>
        <v>0</v>
      </c>
      <c r="F365" s="36">
        <f>[365]Hoja1!$I$2</f>
        <v>2</v>
      </c>
      <c r="G365" s="36">
        <f>[365]Hoja1!$E$22</f>
        <v>4</v>
      </c>
      <c r="H365" s="36">
        <f>[365]Hoja1!$H$22</f>
        <v>12</v>
      </c>
      <c r="I365" s="36">
        <f t="shared" si="5"/>
        <v>16</v>
      </c>
      <c r="J365" s="37">
        <f>MAX([365]Hoja1!$A$5:$A$22)</f>
        <v>44116</v>
      </c>
      <c r="K365" s="38" t="str">
        <f>IF(ISTEXT([365]Hoja1!$A$23),[365]Hoja1!$A$23,"")</f>
        <v/>
      </c>
    </row>
    <row r="366" spans="2:11" x14ac:dyDescent="0.45">
      <c r="B366" s="39" t="s">
        <v>405</v>
      </c>
      <c r="C366" s="35" t="str">
        <f>[366]Hoja1!$A$1</f>
        <v>750-13120I100</v>
      </c>
      <c r="D366" s="36" t="str">
        <f>[366]Hoja1!$C$1</f>
        <v>jgo de aros LPW</v>
      </c>
      <c r="E366" s="36">
        <f>[366]Hoja1!$I$1</f>
        <v>0</v>
      </c>
      <c r="F366" s="36">
        <f>[366]Hoja1!$I$2</f>
        <v>2</v>
      </c>
      <c r="G366" s="36">
        <f>[366]Hoja1!$E$22</f>
        <v>0</v>
      </c>
      <c r="H366" s="36">
        <f>[366]Hoja1!$H$22</f>
        <v>7</v>
      </c>
      <c r="I366" s="36">
        <f t="shared" si="5"/>
        <v>7</v>
      </c>
      <c r="J366" s="37">
        <f>MAX([366]Hoja1!$A$5:$A$22)</f>
        <v>44116</v>
      </c>
      <c r="K366" s="38" t="str">
        <f>IF(ISTEXT([366]Hoja1!$A$23),[366]Hoja1!$A$23,"")</f>
        <v/>
      </c>
    </row>
    <row r="367" spans="2:11" x14ac:dyDescent="0.45">
      <c r="B367" s="39" t="s">
        <v>406</v>
      </c>
      <c r="C367" s="35" t="str">
        <f>[367]Hoja1!$A$1</f>
        <v>750-14120I</v>
      </c>
      <c r="D367" s="36" t="str">
        <f>[367]Hoja1!$C$1</f>
        <v>filtro de combustible completo LPW</v>
      </c>
      <c r="E367" s="36">
        <f>[367]Hoja1!$I$1</f>
        <v>0</v>
      </c>
      <c r="F367" s="36">
        <f>[367]Hoja1!$I$2</f>
        <v>2</v>
      </c>
      <c r="G367" s="36">
        <f>[367]Hoja1!$E$22</f>
        <v>0</v>
      </c>
      <c r="H367" s="36">
        <f>[367]Hoja1!$H$22</f>
        <v>2</v>
      </c>
      <c r="I367" s="36">
        <f t="shared" si="5"/>
        <v>2</v>
      </c>
      <c r="J367" s="37">
        <f>MAX([367]Hoja1!$A$5:$A$22)</f>
        <v>44043</v>
      </c>
      <c r="K367" s="38" t="str">
        <f>IF(ISTEXT([367]Hoja1!$A$23),[367]Hoja1!$A$23,"")</f>
        <v/>
      </c>
    </row>
    <row r="368" spans="2:11" x14ac:dyDescent="0.45">
      <c r="B368" s="45" t="s">
        <v>407</v>
      </c>
      <c r="C368" s="35" t="str">
        <f>[368]Hoja1!$A$1</f>
        <v>750-114150I</v>
      </c>
      <c r="D368" s="36" t="str">
        <f>[368]Hoja1!$C$1</f>
        <v>arbol de levas LPW3</v>
      </c>
      <c r="E368" s="36">
        <f>[368]Hoja1!$I$1</f>
        <v>0</v>
      </c>
      <c r="F368" s="36">
        <f>[368]Hoja1!$I$2</f>
        <v>2</v>
      </c>
      <c r="G368" s="36">
        <f>[368]Hoja1!$E$22</f>
        <v>0</v>
      </c>
      <c r="H368" s="36">
        <f>[368]Hoja1!$H$22</f>
        <v>0</v>
      </c>
      <c r="I368" s="36">
        <f t="shared" si="5"/>
        <v>0</v>
      </c>
      <c r="J368" s="37">
        <f>MAX([368]Hoja1!$A$5:$A$22)</f>
        <v>44043</v>
      </c>
      <c r="K368" s="38" t="str">
        <f>IF(ISTEXT([368]Hoja1!$A$23),[368]Hoja1!$A$23,"")</f>
        <v/>
      </c>
    </row>
    <row r="369" spans="2:11" x14ac:dyDescent="0.45">
      <c r="B369" s="39" t="s">
        <v>408</v>
      </c>
      <c r="C369" s="35" t="str">
        <f>[369]Hoja1!$A$1</f>
        <v>750-15330I</v>
      </c>
      <c r="D369" s="36" t="str">
        <f>[369]Hoja1!$C$1</f>
        <v>alternador LPW</v>
      </c>
      <c r="E369" s="36">
        <f>[369]Hoja1!$I$1</f>
        <v>0</v>
      </c>
      <c r="F369" s="36">
        <f>[369]Hoja1!$I$2</f>
        <v>2</v>
      </c>
      <c r="G369" s="36">
        <f>[369]Hoja1!$E$22</f>
        <v>0</v>
      </c>
      <c r="H369" s="36">
        <f>[369]Hoja1!$H$22</f>
        <v>1</v>
      </c>
      <c r="I369" s="36">
        <f t="shared" si="5"/>
        <v>1</v>
      </c>
      <c r="J369" s="37">
        <f>MAX([369]Hoja1!$A$5:$A$22)</f>
        <v>44043</v>
      </c>
      <c r="K369" s="38" t="str">
        <f>IF(ISTEXT([369]Hoja1!$A$23),[369]Hoja1!$A$23,"")</f>
        <v/>
      </c>
    </row>
    <row r="370" spans="2:11" x14ac:dyDescent="0.45">
      <c r="B370" s="45" t="s">
        <v>409</v>
      </c>
      <c r="C370" s="35" t="str">
        <f>[370]Hoja1!$A$1</f>
        <v>750-40005 I</v>
      </c>
      <c r="D370" s="36" t="str">
        <f>[370]Hoja1!$C$1</f>
        <v xml:space="preserve">conj. Pistón 1ra. Serie </v>
      </c>
      <c r="E370" s="36">
        <f>[370]Hoja1!$I$1</f>
        <v>0</v>
      </c>
      <c r="F370" s="36">
        <f>[370]Hoja1!$I$2</f>
        <v>2</v>
      </c>
      <c r="G370" s="36">
        <f>[370]Hoja1!$E$22</f>
        <v>0</v>
      </c>
      <c r="H370" s="36">
        <f>[370]Hoja1!$H$22</f>
        <v>2</v>
      </c>
      <c r="I370" s="36">
        <f t="shared" si="5"/>
        <v>2</v>
      </c>
      <c r="J370" s="37">
        <f>MAX([370]Hoja1!$A$5:$A$22)</f>
        <v>44043</v>
      </c>
      <c r="K370" s="38" t="str">
        <f>IF(ISTEXT([370]Hoja1!$A$23),[370]Hoja1!$A$23,"")</f>
        <v/>
      </c>
    </row>
    <row r="371" spans="2:11" x14ac:dyDescent="0.45">
      <c r="B371" s="39" t="s">
        <v>410</v>
      </c>
      <c r="C371" s="35" t="str">
        <f>[371]Hoja1!$A$1</f>
        <v>750-40005I025</v>
      </c>
      <c r="D371" s="36" t="str">
        <f>[371]Hoja1!$C$1</f>
        <v>conjunto piston  1ra serie LPW</v>
      </c>
      <c r="E371" s="36">
        <f>[371]Hoja1!$I$1</f>
        <v>0</v>
      </c>
      <c r="F371" s="36">
        <f>[371]Hoja1!$I$2</f>
        <v>2</v>
      </c>
      <c r="G371" s="36">
        <f>[371]Hoja1!$E$22</f>
        <v>0</v>
      </c>
      <c r="H371" s="36">
        <f>[371]Hoja1!$H$22</f>
        <v>0</v>
      </c>
      <c r="I371" s="36">
        <f t="shared" si="5"/>
        <v>0</v>
      </c>
      <c r="J371" s="37">
        <f>MAX([371]Hoja1!$A$5:$A$22)</f>
        <v>44043</v>
      </c>
      <c r="K371" s="38" t="str">
        <f>IF(ISTEXT([371]Hoja1!$A$23),[371]Hoja1!$A$23,"")</f>
        <v/>
      </c>
    </row>
    <row r="372" spans="2:11" x14ac:dyDescent="0.45">
      <c r="B372" s="45" t="s">
        <v>411</v>
      </c>
      <c r="C372" s="35" t="str">
        <f>[372]Hoja1!$A$1</f>
        <v xml:space="preserve">750-40092I25 </v>
      </c>
      <c r="D372" s="36" t="str">
        <f>[372]Hoja1!$C$1</f>
        <v>conj, pistón  I 25 LPWS</v>
      </c>
      <c r="E372" s="36">
        <f>[372]Hoja1!$I$1</f>
        <v>0</v>
      </c>
      <c r="F372" s="36">
        <f>[372]Hoja1!$I$2</f>
        <v>0</v>
      </c>
      <c r="G372" s="36">
        <f>[372]Hoja1!$E$22</f>
        <v>0</v>
      </c>
      <c r="H372" s="36">
        <f>[372]Hoja1!$H$22</f>
        <v>2</v>
      </c>
      <c r="I372" s="36">
        <f t="shared" si="5"/>
        <v>2</v>
      </c>
      <c r="J372" s="37">
        <f>MAX([372]Hoja1!$A$5:$A$22)</f>
        <v>44043</v>
      </c>
      <c r="K372" s="38" t="str">
        <f>IF(ISTEXT([372]Hoja1!$A$23),[372]Hoja1!$A$23,"")</f>
        <v/>
      </c>
    </row>
    <row r="373" spans="2:11" x14ac:dyDescent="0.45">
      <c r="B373" s="39" t="s">
        <v>412</v>
      </c>
      <c r="C373" s="35" t="str">
        <f>[373]Hoja1!$A$1</f>
        <v>750-40160I</v>
      </c>
      <c r="D373" s="36" t="str">
        <f>[373]Hoja1!$C$1</f>
        <v>ventilador de radiador -rojo- LPW *</v>
      </c>
      <c r="E373" s="36">
        <f>[373]Hoja1!$I$1</f>
        <v>0</v>
      </c>
      <c r="F373" s="36">
        <f>[373]Hoja1!$I$2</f>
        <v>2</v>
      </c>
      <c r="G373" s="36">
        <f>[373]Hoja1!$E$22</f>
        <v>0</v>
      </c>
      <c r="H373" s="36">
        <f>[373]Hoja1!$H$22</f>
        <v>1</v>
      </c>
      <c r="I373" s="36">
        <f t="shared" si="5"/>
        <v>1</v>
      </c>
      <c r="J373" s="37">
        <f>MAX([373]Hoja1!$A$5:$A$22)</f>
        <v>44043</v>
      </c>
      <c r="K373" s="38" t="str">
        <f>IF(ISTEXT([373]Hoja1!$A$23),[373]Hoja1!$A$23,"")</f>
        <v xml:space="preserve">     * RAD  5 PALETAS   EMP 250 M ROJO</v>
      </c>
    </row>
    <row r="374" spans="2:11" x14ac:dyDescent="0.45">
      <c r="B374" s="39" t="s">
        <v>413</v>
      </c>
      <c r="C374" s="35" t="str">
        <f>[374]Hoja1!$A$1</f>
        <v>750-40180I</v>
      </c>
      <c r="D374" s="36" t="str">
        <f>[374]Hoja1!$C$1</f>
        <v>ventilador de rad -rojo-315mm  LPW</v>
      </c>
      <c r="E374" s="36">
        <f>[374]Hoja1!$I$1</f>
        <v>0</v>
      </c>
      <c r="F374" s="36">
        <f>[374]Hoja1!$I$2</f>
        <v>2</v>
      </c>
      <c r="G374" s="36">
        <f>[374]Hoja1!$E$22</f>
        <v>0</v>
      </c>
      <c r="H374" s="36">
        <f>[374]Hoja1!$H$22</f>
        <v>2</v>
      </c>
      <c r="I374" s="36">
        <f t="shared" si="5"/>
        <v>2</v>
      </c>
      <c r="J374" s="37">
        <f>MAX([374]Hoja1!$A$5:$A$22)</f>
        <v>44043</v>
      </c>
      <c r="K374" s="38" t="str">
        <f>IF(ISTEXT([374]Hoja1!$A$23),[374]Hoja1!$A$23,"")</f>
        <v/>
      </c>
    </row>
    <row r="375" spans="2:11" x14ac:dyDescent="0.45">
      <c r="B375" s="39" t="s">
        <v>414</v>
      </c>
      <c r="C375" s="35" t="str">
        <f>[375]Hoja1!$A$1</f>
        <v>750-41610AP</v>
      </c>
      <c r="D375" s="36" t="str">
        <f>[375]Hoja1!$C$1</f>
        <v>piston A  LPW</v>
      </c>
      <c r="E375" s="36">
        <f>[375]Hoja1!$I$1</f>
        <v>0</v>
      </c>
      <c r="F375" s="36">
        <f>[375]Hoja1!$I$2</f>
        <v>2</v>
      </c>
      <c r="G375" s="36">
        <f>[375]Hoja1!$E$22</f>
        <v>0</v>
      </c>
      <c r="H375" s="36">
        <f>[375]Hoja1!$H$22</f>
        <v>0</v>
      </c>
      <c r="I375" s="36">
        <f t="shared" si="5"/>
        <v>0</v>
      </c>
      <c r="J375" s="37">
        <f>MAX([375]Hoja1!$A$5:$A$22)</f>
        <v>44043</v>
      </c>
      <c r="K375" s="38" t="str">
        <f>IF(ISTEXT([375]Hoja1!$A$23),[375]Hoja1!$A$23,"")</f>
        <v/>
      </c>
    </row>
    <row r="376" spans="2:11" x14ac:dyDescent="0.45">
      <c r="B376" s="39" t="s">
        <v>415</v>
      </c>
      <c r="C376" s="35" t="str">
        <f>[376]Hoja1!$A$1</f>
        <v>750-41610AP020</v>
      </c>
      <c r="D376" s="36" t="str">
        <f>[376]Hoja1!$C$1</f>
        <v>piston A  LPW</v>
      </c>
      <c r="E376" s="36">
        <f>[376]Hoja1!$I$1</f>
        <v>0</v>
      </c>
      <c r="F376" s="36">
        <f>[376]Hoja1!$I$2</f>
        <v>2</v>
      </c>
      <c r="G376" s="36">
        <f>[376]Hoja1!$E$22</f>
        <v>0</v>
      </c>
      <c r="H376" s="36">
        <f>[376]Hoja1!$H$22</f>
        <v>0</v>
      </c>
      <c r="I376" s="36">
        <f t="shared" si="5"/>
        <v>0</v>
      </c>
      <c r="J376" s="37">
        <f>MAX([376]Hoja1!$A$5:$A$22)</f>
        <v>44043</v>
      </c>
      <c r="K376" s="38" t="str">
        <f>IF(ISTEXT([376]Hoja1!$A$23),[376]Hoja1!$A$23,"")</f>
        <v/>
      </c>
    </row>
    <row r="377" spans="2:11" x14ac:dyDescent="0.45">
      <c r="B377" s="39" t="s">
        <v>416</v>
      </c>
      <c r="C377" s="35" t="str">
        <f>[377]Hoja1!$A$1</f>
        <v>750-41610AP040</v>
      </c>
      <c r="D377" s="36" t="str">
        <f>[377]Hoja1!$C$1</f>
        <v>piston A  LPW</v>
      </c>
      <c r="E377" s="36">
        <f>[377]Hoja1!$I$1</f>
        <v>0</v>
      </c>
      <c r="F377" s="36">
        <f>[377]Hoja1!$I$2</f>
        <v>2</v>
      </c>
      <c r="G377" s="36">
        <f>[377]Hoja1!$E$22</f>
        <v>0</v>
      </c>
      <c r="H377" s="36">
        <f>[377]Hoja1!$H$22</f>
        <v>0</v>
      </c>
      <c r="I377" s="36">
        <f t="shared" si="5"/>
        <v>0</v>
      </c>
      <c r="J377" s="37">
        <f>MAX([377]Hoja1!$A$5:$A$22)</f>
        <v>44043</v>
      </c>
      <c r="K377" s="38" t="str">
        <f>IF(ISTEXT([377]Hoja1!$A$23),[377]Hoja1!$A$23,"")</f>
        <v/>
      </c>
    </row>
    <row r="378" spans="2:11" x14ac:dyDescent="0.45">
      <c r="B378" s="39" t="s">
        <v>417</v>
      </c>
      <c r="C378" s="35" t="str">
        <f>[378]Hoja1!$A$1</f>
        <v>750-41610I</v>
      </c>
      <c r="D378" s="36" t="str">
        <f>[378]Hoja1!$C$1</f>
        <v>conjunto piston LPW</v>
      </c>
      <c r="E378" s="36">
        <f>[378]Hoja1!$I$1</f>
        <v>0</v>
      </c>
      <c r="F378" s="36">
        <f>[378]Hoja1!$I$2</f>
        <v>2</v>
      </c>
      <c r="G378" s="36">
        <f>[378]Hoja1!$E$22</f>
        <v>0</v>
      </c>
      <c r="H378" s="36">
        <f>[378]Hoja1!$H$22</f>
        <v>5</v>
      </c>
      <c r="I378" s="36">
        <f t="shared" si="5"/>
        <v>5</v>
      </c>
      <c r="J378" s="37">
        <f>MAX([378]Hoja1!$A$5:$A$22)</f>
        <v>44043</v>
      </c>
      <c r="K378" s="38" t="str">
        <f>IF(ISTEXT([378]Hoja1!$A$23),[378]Hoja1!$A$23,"")</f>
        <v/>
      </c>
    </row>
    <row r="379" spans="2:11" x14ac:dyDescent="0.45">
      <c r="B379" s="39" t="s">
        <v>418</v>
      </c>
      <c r="C379" s="35" t="str">
        <f>[379]Hoja1!$A$1</f>
        <v>750-41610I025</v>
      </c>
      <c r="D379" s="36" t="str">
        <f>[379]Hoja1!$C$1</f>
        <v>conjunto piston LPW</v>
      </c>
      <c r="E379" s="36">
        <f>[379]Hoja1!$I$1</f>
        <v>0</v>
      </c>
      <c r="F379" s="36">
        <f>[379]Hoja1!$I$2</f>
        <v>2</v>
      </c>
      <c r="G379" s="36">
        <f>[379]Hoja1!$E$22</f>
        <v>0</v>
      </c>
      <c r="H379" s="36">
        <f>[379]Hoja1!$H$22</f>
        <v>8</v>
      </c>
      <c r="I379" s="36">
        <f t="shared" si="5"/>
        <v>8</v>
      </c>
      <c r="J379" s="37">
        <f>MAX([379]Hoja1!$A$5:$A$22)</f>
        <v>44104</v>
      </c>
      <c r="K379" s="38" t="str">
        <f>IF(ISTEXT([379]Hoja1!$A$23),[379]Hoja1!$A$23,"")</f>
        <v/>
      </c>
    </row>
    <row r="380" spans="2:11" x14ac:dyDescent="0.45">
      <c r="B380" s="45" t="s">
        <v>419</v>
      </c>
      <c r="C380" s="35" t="str">
        <f>[380]Hoja1!$A$1</f>
        <v xml:space="preserve">750-41610I50 </v>
      </c>
      <c r="D380" s="36" t="str">
        <f>[380]Hoja1!$C$1</f>
        <v>conjunto piston LPW</v>
      </c>
      <c r="E380" s="36">
        <f>[380]Hoja1!$I$1</f>
        <v>0</v>
      </c>
      <c r="F380" s="36">
        <f>[380]Hoja1!$I$2</f>
        <v>2</v>
      </c>
      <c r="G380" s="36">
        <f>[380]Hoja1!$E$22</f>
        <v>0</v>
      </c>
      <c r="H380" s="36">
        <f>[380]Hoja1!$H$22</f>
        <v>5</v>
      </c>
      <c r="I380" s="36">
        <f t="shared" si="5"/>
        <v>5</v>
      </c>
      <c r="J380" s="37">
        <f>MAX([380]Hoja1!$A$5:$A$22)</f>
        <v>44043</v>
      </c>
      <c r="K380" s="38" t="str">
        <f>IF(ISTEXT([380]Hoja1!$A$23),[380]Hoja1!$A$23,"")</f>
        <v/>
      </c>
    </row>
    <row r="381" spans="2:11" x14ac:dyDescent="0.45">
      <c r="B381" s="39" t="s">
        <v>420</v>
      </c>
      <c r="C381" s="35" t="str">
        <f>[381]Hoja1!$A$1</f>
        <v>750-41610I100</v>
      </c>
      <c r="D381" s="36" t="str">
        <f>[381]Hoja1!$C$1</f>
        <v>conjunto piston LPW</v>
      </c>
      <c r="E381" s="36">
        <f>[381]Hoja1!$I$1</f>
        <v>0</v>
      </c>
      <c r="F381" s="36">
        <f>[381]Hoja1!$I$2</f>
        <v>2</v>
      </c>
      <c r="G381" s="36">
        <f>[381]Hoja1!$E$22</f>
        <v>0</v>
      </c>
      <c r="H381" s="36">
        <f>[381]Hoja1!$H$22</f>
        <v>0</v>
      </c>
      <c r="I381" s="36">
        <f t="shared" si="5"/>
        <v>0</v>
      </c>
      <c r="J381" s="37">
        <f>MAX([381]Hoja1!$A$5:$A$22)</f>
        <v>44043</v>
      </c>
      <c r="K381" s="38" t="str">
        <f>IF(ISTEXT([381]Hoja1!$A$23),[381]Hoja1!$A$23,"")</f>
        <v/>
      </c>
    </row>
    <row r="382" spans="2:11" x14ac:dyDescent="0.45">
      <c r="B382" s="39" t="s">
        <v>421</v>
      </c>
      <c r="C382" s="35" t="str">
        <f>[382]Hoja1!$A$1</f>
        <v>750-42730I</v>
      </c>
      <c r="D382" s="36" t="str">
        <f>[382]Hoja1!$C$1</f>
        <v>bba de agua 1ra. -turerca central- LPW</v>
      </c>
      <c r="E382" s="36">
        <f>[382]Hoja1!$I$1</f>
        <v>0</v>
      </c>
      <c r="F382" s="36">
        <f>[382]Hoja1!$I$2</f>
        <v>2</v>
      </c>
      <c r="G382" s="36">
        <f>[382]Hoja1!$E$22</f>
        <v>0</v>
      </c>
      <c r="H382" s="36">
        <f>[382]Hoja1!$H$22</f>
        <v>3</v>
      </c>
      <c r="I382" s="36">
        <f t="shared" si="5"/>
        <v>3</v>
      </c>
      <c r="J382" s="37">
        <f>MAX([382]Hoja1!$A$5:$A$22)</f>
        <v>44043</v>
      </c>
      <c r="K382" s="38" t="str">
        <f>IF(ISTEXT([382]Hoja1!$A$23),[382]Hoja1!$A$23,"")</f>
        <v/>
      </c>
    </row>
    <row r="383" spans="2:11" x14ac:dyDescent="0.45">
      <c r="B383" s="39" t="s">
        <v>422</v>
      </c>
      <c r="C383" s="35" t="str">
        <f>[383]Hoja1!$A$1</f>
        <v>750-42732I</v>
      </c>
      <c r="D383" s="36" t="str">
        <f>[383]Hoja1!$C$1</f>
        <v>bba de agua 2a serie -3 tornillos- LPW</v>
      </c>
      <c r="E383" s="36">
        <f>[383]Hoja1!$I$1</f>
        <v>0</v>
      </c>
      <c r="F383" s="36">
        <f>[383]Hoja1!$I$2</f>
        <v>2</v>
      </c>
      <c r="G383" s="36">
        <f>[383]Hoja1!$E$22</f>
        <v>0</v>
      </c>
      <c r="H383" s="36">
        <f>[383]Hoja1!$H$22</f>
        <v>4</v>
      </c>
      <c r="I383" s="36">
        <f t="shared" si="5"/>
        <v>4</v>
      </c>
      <c r="J383" s="37">
        <f>MAX([383]Hoja1!$A$5:$A$22)</f>
        <v>44043</v>
      </c>
      <c r="K383" s="38" t="str">
        <f>IF(ISTEXT([383]Hoja1!$A$23),[383]Hoja1!$A$23,"")</f>
        <v>* MODELO NUEVO</v>
      </c>
    </row>
    <row r="384" spans="2:11" x14ac:dyDescent="0.45">
      <c r="B384" s="39" t="s">
        <v>423</v>
      </c>
      <c r="C384" s="35" t="str">
        <f>[384]Hoja1!$A$1</f>
        <v>751-10063I</v>
      </c>
      <c r="D384" s="36" t="str">
        <f>[384]Hoja1!$C$1</f>
        <v>varilla de empuje LPW</v>
      </c>
      <c r="E384" s="36">
        <f>[384]Hoja1!$I$1</f>
        <v>0</v>
      </c>
      <c r="F384" s="36">
        <f>[384]Hoja1!$I$2</f>
        <v>2</v>
      </c>
      <c r="G384" s="36">
        <f>[384]Hoja1!$E$22</f>
        <v>0</v>
      </c>
      <c r="H384" s="36">
        <f>[384]Hoja1!$H$22</f>
        <v>17</v>
      </c>
      <c r="I384" s="36">
        <f t="shared" si="5"/>
        <v>17</v>
      </c>
      <c r="J384" s="37">
        <f>MAX([384]Hoja1!$A$5:$A$22)</f>
        <v>44043</v>
      </c>
      <c r="K384" s="38" t="str">
        <f>IF(ISTEXT([384]Hoja1!$A$23),[384]Hoja1!$A$23,"")</f>
        <v/>
      </c>
    </row>
    <row r="385" spans="2:11" x14ac:dyDescent="0.45">
      <c r="B385" s="39" t="s">
        <v>424</v>
      </c>
      <c r="C385" s="35" t="str">
        <f>[385]Hoja1!$A$1</f>
        <v>751-10103A</v>
      </c>
      <c r="D385" s="36" t="str">
        <f>[385]Hoja1!$C$1</f>
        <v>junta de escape LPW</v>
      </c>
      <c r="E385" s="36">
        <f>[385]Hoja1!$I$1</f>
        <v>0</v>
      </c>
      <c r="F385" s="36">
        <f>[385]Hoja1!$I$2</f>
        <v>2</v>
      </c>
      <c r="G385" s="36">
        <f>[385]Hoja1!$E$22</f>
        <v>0</v>
      </c>
      <c r="H385" s="36">
        <f>[385]Hoja1!$H$22</f>
        <v>141</v>
      </c>
      <c r="I385" s="36">
        <f t="shared" si="5"/>
        <v>141</v>
      </c>
      <c r="J385" s="37">
        <f>MAX([385]Hoja1!$A$5:$A$22)</f>
        <v>44043</v>
      </c>
      <c r="K385" s="38" t="str">
        <f>IF(ISTEXT([385]Hoja1!$A$23),[385]Hoja1!$A$23,"")</f>
        <v>hay 1 original de muestra</v>
      </c>
    </row>
    <row r="386" spans="2:11" x14ac:dyDescent="0.45">
      <c r="B386" s="39" t="s">
        <v>425</v>
      </c>
      <c r="C386" s="35" t="str">
        <f>[386]Hoja1!$A$1</f>
        <v>751-10103I</v>
      </c>
      <c r="D386" s="36" t="str">
        <f>[386]Hoja1!$C$1</f>
        <v>junta de escape LPW</v>
      </c>
      <c r="E386" s="36">
        <f>[386]Hoja1!$I$1</f>
        <v>0</v>
      </c>
      <c r="F386" s="36">
        <f>[386]Hoja1!$I$2</f>
        <v>2</v>
      </c>
      <c r="G386" s="36">
        <f>[386]Hoja1!$E$22</f>
        <v>0</v>
      </c>
      <c r="H386" s="36">
        <f>[386]Hoja1!$H$22</f>
        <v>0</v>
      </c>
      <c r="I386" s="36">
        <f t="shared" si="5"/>
        <v>0</v>
      </c>
      <c r="J386" s="37">
        <f>MAX([386]Hoja1!$A$5:$A$22)</f>
        <v>44043</v>
      </c>
      <c r="K386" s="38" t="str">
        <f>IF(ISTEXT([386]Hoja1!$A$23),[386]Hoja1!$A$23,"")</f>
        <v/>
      </c>
    </row>
    <row r="387" spans="2:11" x14ac:dyDescent="0.45">
      <c r="B387" s="45" t="s">
        <v>426</v>
      </c>
      <c r="C387" s="35" t="str">
        <f>[387]Hoja1!$A$1</f>
        <v>751-10121I</v>
      </c>
      <c r="D387" s="36" t="str">
        <f>[387]Hoja1!$C$1</f>
        <v xml:space="preserve"> piñon del cigüeñal LPW</v>
      </c>
      <c r="E387" s="36">
        <f>[387]Hoja1!$I$1</f>
        <v>0</v>
      </c>
      <c r="F387" s="36">
        <f>[387]Hoja1!$I$2</f>
        <v>2</v>
      </c>
      <c r="G387" s="36">
        <f>[387]Hoja1!$E$22</f>
        <v>0</v>
      </c>
      <c r="H387" s="36">
        <f>[387]Hoja1!$H$22</f>
        <v>3</v>
      </c>
      <c r="I387" s="36">
        <f t="shared" ref="I387:I450" si="6">SUM(G387:H387)</f>
        <v>3</v>
      </c>
      <c r="J387" s="37">
        <f>MAX([387]Hoja1!$A$5:$A$22)</f>
        <v>44043</v>
      </c>
      <c r="K387" s="38" t="str">
        <f>IF(ISTEXT([387]Hoja1!$A$23),[387]Hoja1!$A$23,"")</f>
        <v/>
      </c>
    </row>
    <row r="388" spans="2:11" x14ac:dyDescent="0.45">
      <c r="B388" s="39" t="s">
        <v>427</v>
      </c>
      <c r="C388" s="35" t="str">
        <f>[388]Hoja1!$A$1</f>
        <v>751-10150I</v>
      </c>
      <c r="D388" s="36" t="str">
        <f>[388]Hoja1!$C$1</f>
        <v>buje de biela LPW</v>
      </c>
      <c r="E388" s="36">
        <f>[388]Hoja1!$I$1</f>
        <v>0</v>
      </c>
      <c r="F388" s="36">
        <f>[388]Hoja1!$I$2</f>
        <v>2</v>
      </c>
      <c r="G388" s="36">
        <f>[388]Hoja1!$E$22</f>
        <v>6</v>
      </c>
      <c r="H388" s="36">
        <f>[388]Hoja1!$H$22</f>
        <v>30</v>
      </c>
      <c r="I388" s="36">
        <f t="shared" si="6"/>
        <v>36</v>
      </c>
      <c r="J388" s="37">
        <f>MAX([388]Hoja1!$A$5:$A$22)</f>
        <v>44116</v>
      </c>
      <c r="K388" s="38" t="str">
        <f>IF(ISTEXT([388]Hoja1!$A$23),[388]Hoja1!$A$23,"")</f>
        <v/>
      </c>
    </row>
    <row r="389" spans="2:11" x14ac:dyDescent="0.45">
      <c r="B389" s="39" t="s">
        <v>428</v>
      </c>
      <c r="C389" s="35" t="str">
        <f>[389]Hoja1!$A$1</f>
        <v>751-10232I</v>
      </c>
      <c r="D389" s="36" t="str">
        <f>[389]Hoja1!$C$1</f>
        <v>bulon de biela LPW</v>
      </c>
      <c r="E389" s="36">
        <f>[389]Hoja1!$I$1</f>
        <v>0</v>
      </c>
      <c r="F389" s="36">
        <f>[389]Hoja1!$I$2</f>
        <v>2</v>
      </c>
      <c r="G389" s="36">
        <f>[389]Hoja1!$E$22</f>
        <v>0</v>
      </c>
      <c r="H389" s="36">
        <f>[389]Hoja1!$H$22</f>
        <v>8</v>
      </c>
      <c r="I389" s="36">
        <f t="shared" si="6"/>
        <v>8</v>
      </c>
      <c r="J389" s="37">
        <f>MAX([389]Hoja1!$A$5:$A$22)</f>
        <v>44043</v>
      </c>
      <c r="K389" s="38" t="str">
        <f>IF(ISTEXT([389]Hoja1!$A$23),[389]Hoja1!$A$23,"")</f>
        <v/>
      </c>
    </row>
    <row r="390" spans="2:11" x14ac:dyDescent="0.45">
      <c r="B390" s="39" t="s">
        <v>429</v>
      </c>
      <c r="C390" s="35" t="str">
        <f>[390]Hoja1!$A$1</f>
        <v>751-10244I</v>
      </c>
      <c r="D390" s="36" t="str">
        <f>[390]Hoja1!$C$1</f>
        <v>caño inyector lado volante y .. LPW</v>
      </c>
      <c r="E390" s="36">
        <f>[390]Hoja1!$I$1</f>
        <v>0</v>
      </c>
      <c r="F390" s="36">
        <f>[390]Hoja1!$I$2</f>
        <v>2</v>
      </c>
      <c r="G390" s="36">
        <f>[390]Hoja1!$E$22</f>
        <v>0</v>
      </c>
      <c r="H390" s="36">
        <f>[390]Hoja1!$H$22</f>
        <v>3</v>
      </c>
      <c r="I390" s="36">
        <f t="shared" si="6"/>
        <v>3</v>
      </c>
      <c r="J390" s="37">
        <f>MAX([390]Hoja1!$A$5:$A$22)</f>
        <v>44043</v>
      </c>
      <c r="K390" s="38" t="str">
        <f>IF(ISTEXT([390]Hoja1!$A$23),[390]Hoja1!$A$23,"")</f>
        <v/>
      </c>
    </row>
    <row r="391" spans="2:11" x14ac:dyDescent="0.45">
      <c r="B391" s="39" t="s">
        <v>430</v>
      </c>
      <c r="C391" s="35" t="str">
        <f>[391]Hoja1!$A$1</f>
        <v>751-10288I</v>
      </c>
      <c r="D391" s="36" t="str">
        <f>[391]Hoja1!$C$1</f>
        <v>manguito del regulador  LPW</v>
      </c>
      <c r="E391" s="36">
        <f>[391]Hoja1!$I$1</f>
        <v>0</v>
      </c>
      <c r="F391" s="36">
        <f>[391]Hoja1!$I$2</f>
        <v>1</v>
      </c>
      <c r="G391" s="36">
        <f>[391]Hoja1!$E$22</f>
        <v>0</v>
      </c>
      <c r="H391" s="36">
        <f>[391]Hoja1!$H$22</f>
        <v>0</v>
      </c>
      <c r="I391" s="36">
        <f t="shared" si="6"/>
        <v>0</v>
      </c>
      <c r="J391" s="37">
        <f>MAX([391]Hoja1!$A$5:$A$22)</f>
        <v>44043</v>
      </c>
      <c r="K391" s="38" t="str">
        <f>IF(ISTEXT([391]Hoja1!$A$23),[391]Hoja1!$A$23,"")</f>
        <v/>
      </c>
    </row>
    <row r="392" spans="2:11" x14ac:dyDescent="0.45">
      <c r="B392" s="39" t="s">
        <v>431</v>
      </c>
      <c r="C392" s="35" t="str">
        <f>[392]Hoja1!$A$1</f>
        <v>751-10324I</v>
      </c>
      <c r="D392" s="36" t="str">
        <f>[392]Hoja1!$C$1</f>
        <v>soporte de pivot LPW</v>
      </c>
      <c r="E392" s="36">
        <f>[392]Hoja1!$I$1</f>
        <v>0</v>
      </c>
      <c r="F392" s="36">
        <f>[392]Hoja1!$I$2</f>
        <v>1</v>
      </c>
      <c r="G392" s="36">
        <f>[392]Hoja1!$E$22</f>
        <v>0</v>
      </c>
      <c r="H392" s="36">
        <f>[392]Hoja1!$H$22</f>
        <v>1</v>
      </c>
      <c r="I392" s="36">
        <f t="shared" si="6"/>
        <v>1</v>
      </c>
      <c r="J392" s="37">
        <f>MAX([392]Hoja1!$A$5:$A$22)</f>
        <v>44043</v>
      </c>
      <c r="K392" s="38" t="str">
        <f>IF(ISTEXT([392]Hoja1!$A$23),[392]Hoja1!$A$23,"")</f>
        <v/>
      </c>
    </row>
    <row r="393" spans="2:11" x14ac:dyDescent="0.45">
      <c r="B393" s="39" t="s">
        <v>432</v>
      </c>
      <c r="C393" s="35" t="str">
        <f>[393]Hoja1!$A$1</f>
        <v>751-10330I</v>
      </c>
      <c r="D393" s="36" t="str">
        <f>[393]Hoja1!$C$1</f>
        <v>resorte entre barra y   LPW</v>
      </c>
      <c r="E393" s="36">
        <f>[393]Hoja1!$I$1</f>
        <v>0</v>
      </c>
      <c r="F393" s="36">
        <f>[393]Hoja1!$I$2</f>
        <v>1</v>
      </c>
      <c r="G393" s="36">
        <f>[393]Hoja1!$E$22</f>
        <v>0</v>
      </c>
      <c r="H393" s="36">
        <f>[393]Hoja1!$H$22</f>
        <v>5</v>
      </c>
      <c r="I393" s="36">
        <f t="shared" si="6"/>
        <v>5</v>
      </c>
      <c r="J393" s="37">
        <f>MAX([393]Hoja1!$A$5:$A$22)</f>
        <v>44043</v>
      </c>
      <c r="K393" s="38" t="str">
        <f>IF(ISTEXT([393]Hoja1!$A$23),[393]Hoja1!$A$23,"")</f>
        <v/>
      </c>
    </row>
    <row r="394" spans="2:11" x14ac:dyDescent="0.45">
      <c r="B394" s="39" t="s">
        <v>433</v>
      </c>
      <c r="C394" s="35" t="str">
        <f>[394]Hoja1!$A$1</f>
        <v>751-10390A</v>
      </c>
      <c r="D394" s="36" t="str">
        <f>[394]Hoja1!$C$1</f>
        <v>reten caja de engranajes LPW</v>
      </c>
      <c r="E394" s="36">
        <f>[394]Hoja1!$I$1</f>
        <v>0</v>
      </c>
      <c r="F394" s="36">
        <f>[394]Hoja1!$I$2</f>
        <v>1</v>
      </c>
      <c r="G394" s="36">
        <f>[394]Hoja1!$E$22</f>
        <v>0</v>
      </c>
      <c r="H394" s="36">
        <f>[394]Hoja1!$H$22</f>
        <v>8</v>
      </c>
      <c r="I394" s="36">
        <f t="shared" si="6"/>
        <v>8</v>
      </c>
      <c r="J394" s="37">
        <f>MAX([394]Hoja1!$A$5:$A$22)</f>
        <v>44043</v>
      </c>
      <c r="K394" s="38" t="str">
        <f>IF(ISTEXT([394]Hoja1!$A$23),[394]Hoja1!$A$23,"")</f>
        <v/>
      </c>
    </row>
    <row r="395" spans="2:11" x14ac:dyDescent="0.45">
      <c r="B395" s="39" t="s">
        <v>434</v>
      </c>
      <c r="C395" s="35" t="str">
        <f>[395]Hoja1!$A$1</f>
        <v>751-10390I</v>
      </c>
      <c r="D395" s="36" t="str">
        <f>[395]Hoja1!$C$1</f>
        <v>reten caja de engranajes LPW</v>
      </c>
      <c r="E395" s="36">
        <f>[395]Hoja1!$I$1</f>
        <v>0</v>
      </c>
      <c r="F395" s="36">
        <f>[395]Hoja1!$I$2</f>
        <v>1</v>
      </c>
      <c r="G395" s="36">
        <f>[395]Hoja1!$E$22</f>
        <v>0</v>
      </c>
      <c r="H395" s="36">
        <f>[395]Hoja1!$H$22</f>
        <v>8</v>
      </c>
      <c r="I395" s="36">
        <f t="shared" si="6"/>
        <v>8</v>
      </c>
      <c r="J395" s="37">
        <f>MAX([395]Hoja1!$A$5:$A$22)</f>
        <v>44043</v>
      </c>
      <c r="K395" s="38" t="str">
        <f>IF(ISTEXT([395]Hoja1!$A$23),[395]Hoja1!$A$23,"")</f>
        <v xml:space="preserve">ver si son todos  Import </v>
      </c>
    </row>
    <row r="396" spans="2:11" x14ac:dyDescent="0.45">
      <c r="B396" s="39" t="s">
        <v>435</v>
      </c>
      <c r="C396" s="35" t="str">
        <f>[396]Hoja1!$A$1</f>
        <v>751-10430A</v>
      </c>
      <c r="D396" s="36" t="str">
        <f>[396]Hoja1!$C$1</f>
        <v>reten bcada lado volante LPW</v>
      </c>
      <c r="E396" s="36">
        <f>[396]Hoja1!$I$1</f>
        <v>0</v>
      </c>
      <c r="F396" s="36">
        <f>[396]Hoja1!$I$2</f>
        <v>1</v>
      </c>
      <c r="G396" s="36">
        <f>[396]Hoja1!$E$22</f>
        <v>0</v>
      </c>
      <c r="H396" s="36">
        <f>[396]Hoja1!$H$22</f>
        <v>0</v>
      </c>
      <c r="I396" s="36">
        <f t="shared" si="6"/>
        <v>0</v>
      </c>
      <c r="J396" s="37">
        <f>MAX([396]Hoja1!$A$5:$A$22)</f>
        <v>44043</v>
      </c>
      <c r="K396" s="38" t="str">
        <f>IF(ISTEXT([396]Hoja1!$A$23),[396]Hoja1!$A$23,"")</f>
        <v/>
      </c>
    </row>
    <row r="397" spans="2:11" x14ac:dyDescent="0.45">
      <c r="B397" s="39" t="s">
        <v>436</v>
      </c>
      <c r="C397" s="35" t="str">
        <f>[397]Hoja1!$A$1</f>
        <v>751-10430I</v>
      </c>
      <c r="D397" s="36" t="str">
        <f>[397]Hoja1!$C$1</f>
        <v>reten bcada lado volante LPW</v>
      </c>
      <c r="E397" s="36">
        <f>[397]Hoja1!$I$1</f>
        <v>0</v>
      </c>
      <c r="F397" s="36">
        <f>[397]Hoja1!$I$2</f>
        <v>1</v>
      </c>
      <c r="G397" s="36">
        <f>[397]Hoja1!$E$22</f>
        <v>0</v>
      </c>
      <c r="H397" s="36">
        <f>[397]Hoja1!$H$22</f>
        <v>4</v>
      </c>
      <c r="I397" s="36">
        <f t="shared" si="6"/>
        <v>4</v>
      </c>
      <c r="J397" s="37">
        <f>MAX([397]Hoja1!$A$5:$A$22)</f>
        <v>44043</v>
      </c>
      <c r="K397" s="38" t="str">
        <f>IF(ISTEXT([397]Hoja1!$A$23),[397]Hoja1!$A$23,"")</f>
        <v/>
      </c>
    </row>
    <row r="398" spans="2:11" x14ac:dyDescent="0.45">
      <c r="B398" s="39" t="s">
        <v>437</v>
      </c>
      <c r="C398" s="35" t="str">
        <f>[398]Hoja1!$A$1</f>
        <v>751-10490I</v>
      </c>
      <c r="D398" s="36" t="str">
        <f>[398]Hoja1!$C$1</f>
        <v>eje de localización  LPW</v>
      </c>
      <c r="E398" s="36">
        <f>[398]Hoja1!$I$1</f>
        <v>0</v>
      </c>
      <c r="F398" s="36">
        <f>[398]Hoja1!$I$2</f>
        <v>1</v>
      </c>
      <c r="G398" s="36">
        <f>[398]Hoja1!$E$22</f>
        <v>0</v>
      </c>
      <c r="H398" s="36">
        <f>[398]Hoja1!$H$22</f>
        <v>6</v>
      </c>
      <c r="I398" s="36">
        <f t="shared" si="6"/>
        <v>6</v>
      </c>
      <c r="J398" s="37">
        <f>MAX([398]Hoja1!$A$5:$A$22)</f>
        <v>44043</v>
      </c>
      <c r="K398" s="38" t="str">
        <f>IF(ISTEXT([398]Hoja1!$A$23),[398]Hoja1!$A$23,"")</f>
        <v/>
      </c>
    </row>
    <row r="399" spans="2:11" x14ac:dyDescent="0.45">
      <c r="B399" s="39" t="s">
        <v>438</v>
      </c>
      <c r="C399" s="35" t="str">
        <f>[399]Hoja1!$A$1</f>
        <v>751-10520I</v>
      </c>
      <c r="D399" s="36" t="str">
        <f>[399]Hoja1!$C$1</f>
        <v>corona de arranque  LPW</v>
      </c>
      <c r="E399" s="36">
        <f>[399]Hoja1!$I$1</f>
        <v>0</v>
      </c>
      <c r="F399" s="36">
        <f>[399]Hoja1!$I$2</f>
        <v>1</v>
      </c>
      <c r="G399" s="36">
        <f>[399]Hoja1!$E$22</f>
        <v>0</v>
      </c>
      <c r="H399" s="36">
        <f>[399]Hoja1!$H$22</f>
        <v>1</v>
      </c>
      <c r="I399" s="36">
        <f t="shared" si="6"/>
        <v>1</v>
      </c>
      <c r="J399" s="37">
        <f>MAX([399]Hoja1!$A$5:$A$22)</f>
        <v>44043</v>
      </c>
      <c r="K399" s="38" t="str">
        <f>IF(ISTEXT([399]Hoja1!$A$23),[399]Hoja1!$A$23,"")</f>
        <v/>
      </c>
    </row>
    <row r="400" spans="2:11" x14ac:dyDescent="0.45">
      <c r="B400" s="39" t="s">
        <v>439</v>
      </c>
      <c r="C400" s="35" t="str">
        <f>[400]Hoja1!$A$1</f>
        <v>751-10580I</v>
      </c>
      <c r="D400" s="36" t="str">
        <f>[400]Hoja1!$C$1</f>
        <v>brida de inyector  LPW</v>
      </c>
      <c r="E400" s="36">
        <f>[400]Hoja1!$I$1</f>
        <v>0</v>
      </c>
      <c r="F400" s="36">
        <f>[400]Hoja1!$I$2</f>
        <v>1</v>
      </c>
      <c r="G400" s="36">
        <f>[400]Hoja1!$E$22</f>
        <v>0</v>
      </c>
      <c r="H400" s="36">
        <f>[400]Hoja1!$H$22</f>
        <v>0</v>
      </c>
      <c r="I400" s="36">
        <f t="shared" si="6"/>
        <v>0</v>
      </c>
      <c r="J400" s="37">
        <f>MAX([400]Hoja1!$A$5:$A$22)</f>
        <v>44043</v>
      </c>
      <c r="K400" s="38" t="str">
        <f>IF(ISTEXT([400]Hoja1!$A$23),[400]Hoja1!$A$23,"")</f>
        <v/>
      </c>
    </row>
    <row r="401" spans="2:11" x14ac:dyDescent="0.45">
      <c r="B401" s="39" t="s">
        <v>440</v>
      </c>
      <c r="C401" s="35" t="str">
        <f>[401]Hoja1!$A$1</f>
        <v>751-10620A</v>
      </c>
      <c r="D401" s="36" t="str">
        <f>[401]Hoja1!$C$1</f>
        <v>filtro de aceite  LPW</v>
      </c>
      <c r="E401" s="36">
        <f>[401]Hoja1!$I$1</f>
        <v>0</v>
      </c>
      <c r="F401" s="36">
        <f>[401]Hoja1!$I$2</f>
        <v>1</v>
      </c>
      <c r="G401" s="36">
        <f>[401]Hoja1!$E$22</f>
        <v>4</v>
      </c>
      <c r="H401" s="36">
        <f>[401]Hoja1!$H$22</f>
        <v>20</v>
      </c>
      <c r="I401" s="36">
        <f t="shared" si="6"/>
        <v>24</v>
      </c>
      <c r="J401" s="37">
        <f>MAX([401]Hoja1!$A$5:$A$22)</f>
        <v>44043</v>
      </c>
      <c r="K401" s="38" t="str">
        <f>IF(ISTEXT([401]Hoja1!$A$23),[401]Hoja1!$A$23,"")</f>
        <v/>
      </c>
    </row>
    <row r="402" spans="2:11" x14ac:dyDescent="0.45">
      <c r="B402" s="39" t="s">
        <v>441</v>
      </c>
      <c r="C402" s="35" t="str">
        <f>[402]Hoja1!$A$1</f>
        <v>751-10620I</v>
      </c>
      <c r="D402" s="36" t="str">
        <f>[402]Hoja1!$C$1</f>
        <v>filtro de aceite  LPW</v>
      </c>
      <c r="E402" s="36">
        <f>[402]Hoja1!$I$1</f>
        <v>0</v>
      </c>
      <c r="F402" s="36">
        <f>[402]Hoja1!$I$2</f>
        <v>1</v>
      </c>
      <c r="G402" s="36">
        <f>[402]Hoja1!$E$22</f>
        <v>0</v>
      </c>
      <c r="H402" s="36">
        <f>[402]Hoja1!$H$22</f>
        <v>12</v>
      </c>
      <c r="I402" s="36">
        <f t="shared" si="6"/>
        <v>12</v>
      </c>
      <c r="J402" s="37">
        <f>MAX([402]Hoja1!$A$5:$A$22)</f>
        <v>44043</v>
      </c>
      <c r="K402" s="38" t="str">
        <f>IF(ISTEXT([402]Hoja1!$A$23),[402]Hoja1!$A$23,"")</f>
        <v/>
      </c>
    </row>
    <row r="403" spans="2:11" x14ac:dyDescent="0.45">
      <c r="B403" s="39" t="s">
        <v>442</v>
      </c>
      <c r="C403" s="35" t="str">
        <f>[403]Hoja1!$A$1</f>
        <v>751-10661I</v>
      </c>
      <c r="D403" s="36" t="str">
        <f>[403]Hoja1!$C$1</f>
        <v>resorte de valvula  LPW</v>
      </c>
      <c r="E403" s="36">
        <f>[403]Hoja1!$I$1</f>
        <v>0</v>
      </c>
      <c r="F403" s="36">
        <f>[403]Hoja1!$I$2</f>
        <v>1</v>
      </c>
      <c r="G403" s="36">
        <f>[403]Hoja1!$E$22</f>
        <v>0</v>
      </c>
      <c r="H403" s="36">
        <f>[403]Hoja1!$H$22</f>
        <v>12</v>
      </c>
      <c r="I403" s="36">
        <f t="shared" si="6"/>
        <v>12</v>
      </c>
      <c r="J403" s="37">
        <f>MAX([403]Hoja1!$A$5:$A$22)</f>
        <v>44043</v>
      </c>
      <c r="K403" s="38" t="str">
        <f>IF(ISTEXT([403]Hoja1!$A$23),[403]Hoja1!$A$23,"")</f>
        <v/>
      </c>
    </row>
    <row r="404" spans="2:11" x14ac:dyDescent="0.45">
      <c r="B404" s="39" t="s">
        <v>443</v>
      </c>
      <c r="C404" s="35" t="str">
        <f>[404]Hoja1!$A$1</f>
        <v>751-10672I</v>
      </c>
      <c r="D404" s="36" t="str">
        <f>[404]Hoja1!$C$1</f>
        <v>platillo de valvula - superior-LPW</v>
      </c>
      <c r="E404" s="36">
        <f>[404]Hoja1!$I$1</f>
        <v>0</v>
      </c>
      <c r="F404" s="36">
        <f>[404]Hoja1!$I$2</f>
        <v>1</v>
      </c>
      <c r="G404" s="36">
        <f>[404]Hoja1!$E$22</f>
        <v>0</v>
      </c>
      <c r="H404" s="36">
        <f>[404]Hoja1!$H$22</f>
        <v>13</v>
      </c>
      <c r="I404" s="36">
        <f t="shared" si="6"/>
        <v>13</v>
      </c>
      <c r="J404" s="37">
        <f>MAX([404]Hoja1!$A$5:$A$22)</f>
        <v>44043</v>
      </c>
      <c r="K404" s="38" t="str">
        <f>IF(ISTEXT([404]Hoja1!$A$23),[404]Hoja1!$A$23,"")</f>
        <v/>
      </c>
    </row>
    <row r="405" spans="2:11" x14ac:dyDescent="0.45">
      <c r="B405" s="39" t="s">
        <v>444</v>
      </c>
      <c r="C405" s="35" t="str">
        <f>[405]Hoja1!$A$1</f>
        <v>751-10903I</v>
      </c>
      <c r="D405" s="36" t="str">
        <f>[405]Hoja1!$C$1</f>
        <v>guía de valvula  LPW</v>
      </c>
      <c r="E405" s="36">
        <f>[405]Hoja1!$I$1</f>
        <v>0</v>
      </c>
      <c r="F405" s="36">
        <f>[405]Hoja1!$I$2</f>
        <v>1</v>
      </c>
      <c r="G405" s="36">
        <f>[405]Hoja1!$E$22</f>
        <v>30</v>
      </c>
      <c r="H405" s="36">
        <f>[405]Hoja1!$H$22</f>
        <v>12</v>
      </c>
      <c r="I405" s="36">
        <f t="shared" si="6"/>
        <v>42</v>
      </c>
      <c r="J405" s="37">
        <f>MAX([405]Hoja1!$A$5:$A$22)</f>
        <v>44116</v>
      </c>
      <c r="K405" s="38" t="str">
        <f>IF(ISTEXT([405]Hoja1!$A$23),[405]Hoja1!$A$23,"")</f>
        <v/>
      </c>
    </row>
    <row r="406" spans="2:11" x14ac:dyDescent="0.45">
      <c r="B406" s="39" t="s">
        <v>445</v>
      </c>
      <c r="C406" s="35" t="str">
        <f>[406]Hoja1!$A$1</f>
        <v>751-10913I</v>
      </c>
      <c r="D406" s="36" t="str">
        <f>[406]Hoja1!$C$1</f>
        <v>platillo de valvula - inferior-LPW</v>
      </c>
      <c r="E406" s="36">
        <f>[406]Hoja1!$I$1</f>
        <v>0</v>
      </c>
      <c r="F406" s="36">
        <f>[406]Hoja1!$I$2</f>
        <v>1</v>
      </c>
      <c r="G406" s="36">
        <f>[406]Hoja1!$E$22</f>
        <v>0</v>
      </c>
      <c r="H406" s="36">
        <f>[406]Hoja1!$H$22</f>
        <v>9</v>
      </c>
      <c r="I406" s="36">
        <f t="shared" si="6"/>
        <v>9</v>
      </c>
      <c r="J406" s="37">
        <f>MAX([406]Hoja1!$A$5:$A$22)</f>
        <v>44043</v>
      </c>
      <c r="K406" s="38" t="str">
        <f>IF(ISTEXT([406]Hoja1!$A$23),[406]Hoja1!$A$23,"")</f>
        <v/>
      </c>
    </row>
    <row r="407" spans="2:11" x14ac:dyDescent="0.45">
      <c r="B407" s="39" t="s">
        <v>446</v>
      </c>
      <c r="C407" s="35" t="str">
        <f>[407]Hoja1!$A$1</f>
        <v>751-10950I</v>
      </c>
      <c r="D407" s="36" t="str">
        <f>[407]Hoja1!$C$1</f>
        <v>buje arbol levas - lado engranajes-LPW</v>
      </c>
      <c r="E407" s="36">
        <f>[407]Hoja1!$I$1</f>
        <v>0</v>
      </c>
      <c r="F407" s="36">
        <f>[407]Hoja1!$I$2</f>
        <v>1</v>
      </c>
      <c r="G407" s="36">
        <f>[407]Hoja1!$E$22</f>
        <v>0</v>
      </c>
      <c r="H407" s="36">
        <f>[407]Hoja1!$H$22</f>
        <v>8</v>
      </c>
      <c r="I407" s="36">
        <f t="shared" si="6"/>
        <v>8</v>
      </c>
      <c r="J407" s="37">
        <f>MAX([407]Hoja1!$A$5:$A$22)</f>
        <v>44043</v>
      </c>
      <c r="K407" s="38" t="str">
        <f>IF(ISTEXT([407]Hoja1!$A$23),[407]Hoja1!$A$23,"")</f>
        <v/>
      </c>
    </row>
    <row r="408" spans="2:11" x14ac:dyDescent="0.45">
      <c r="B408" s="45" t="s">
        <v>447</v>
      </c>
      <c r="C408" s="35" t="str">
        <f>[408]Hoja1!$A$1</f>
        <v>751-10965I</v>
      </c>
      <c r="D408" s="36" t="str">
        <f>[408]Hoja1!$C$1</f>
        <v>polea para alternador -dia 61,5mm-LPW</v>
      </c>
      <c r="E408" s="36">
        <f>[408]Hoja1!$I$1</f>
        <v>0</v>
      </c>
      <c r="F408" s="36">
        <f>[408]Hoja1!$I$2</f>
        <v>1</v>
      </c>
      <c r="G408" s="36">
        <f>[408]Hoja1!$E$22</f>
        <v>0</v>
      </c>
      <c r="H408" s="36">
        <f>[408]Hoja1!$H$22</f>
        <v>1</v>
      </c>
      <c r="I408" s="36">
        <f t="shared" si="6"/>
        <v>1</v>
      </c>
      <c r="J408" s="37">
        <f>MAX([408]Hoja1!$A$5:$A$22)</f>
        <v>44043</v>
      </c>
      <c r="K408" s="38" t="str">
        <f>IF(ISTEXT([408]Hoja1!$A$23),[408]Hoja1!$A$23,"")</f>
        <v>de recupero  -  sin valor contable</v>
      </c>
    </row>
    <row r="409" spans="2:11" x14ac:dyDescent="0.45">
      <c r="B409" s="39" t="s">
        <v>448</v>
      </c>
      <c r="C409" s="35" t="str">
        <f>[409]Hoja1!$A$1</f>
        <v>751-11073A</v>
      </c>
      <c r="D409" s="36" t="str">
        <f>[409]Hoja1!$C$1</f>
        <v>junta tapa de valvulas -LPW</v>
      </c>
      <c r="E409" s="36">
        <f>[409]Hoja1!$I$1</f>
        <v>0</v>
      </c>
      <c r="F409" s="36">
        <f>[409]Hoja1!$I$2</f>
        <v>1</v>
      </c>
      <c r="G409" s="36">
        <f>[409]Hoja1!$E$22</f>
        <v>2</v>
      </c>
      <c r="H409" s="36">
        <f>[409]Hoja1!$H$22</f>
        <v>8</v>
      </c>
      <c r="I409" s="36">
        <f t="shared" si="6"/>
        <v>10</v>
      </c>
      <c r="J409" s="37">
        <f>MAX([409]Hoja1!$A$5:$A$22)</f>
        <v>44135</v>
      </c>
      <c r="K409" s="38" t="str">
        <f>IF(ISTEXT([409]Hoja1!$A$23),[409]Hoja1!$A$23,"")</f>
        <v>hay 3  mas (I)</v>
      </c>
    </row>
    <row r="410" spans="2:11" x14ac:dyDescent="0.45">
      <c r="B410" s="39" t="s">
        <v>449</v>
      </c>
      <c r="C410" s="35" t="str">
        <f>[410]Hoja1!$A$1</f>
        <v>751-11121A</v>
      </c>
      <c r="D410" s="36" t="str">
        <f>[410]Hoja1!$C$1</f>
        <v>junta de admision -LPW</v>
      </c>
      <c r="E410" s="36">
        <f>[410]Hoja1!$I$1</f>
        <v>0</v>
      </c>
      <c r="F410" s="36">
        <f>[410]Hoja1!$I$2</f>
        <v>1</v>
      </c>
      <c r="G410" s="36">
        <f>[410]Hoja1!$E$22</f>
        <v>0</v>
      </c>
      <c r="H410" s="36">
        <f>[410]Hoja1!$H$22</f>
        <v>21</v>
      </c>
      <c r="I410" s="36">
        <f t="shared" si="6"/>
        <v>21</v>
      </c>
      <c r="J410" s="37">
        <f>MAX([410]Hoja1!$A$5:$A$22)</f>
        <v>44043</v>
      </c>
      <c r="K410" s="38" t="str">
        <f>IF(ISTEXT([410]Hoja1!$A$23),[410]Hoja1!$A$23,"")</f>
        <v>hay 4mas originales .- muestra</v>
      </c>
    </row>
    <row r="411" spans="2:11" x14ac:dyDescent="0.45">
      <c r="B411" s="39" t="s">
        <v>450</v>
      </c>
      <c r="C411" s="35" t="str">
        <f>[411]Hoja1!$A$1</f>
        <v>751-11121I</v>
      </c>
      <c r="D411" s="36" t="str">
        <f>[411]Hoja1!$C$1</f>
        <v>junta de admision -LPW</v>
      </c>
      <c r="E411" s="36">
        <f>[411]Hoja1!$I$1</f>
        <v>0</v>
      </c>
      <c r="F411" s="36">
        <f>[411]Hoja1!$I$2</f>
        <v>1</v>
      </c>
      <c r="G411" s="36">
        <f>[411]Hoja1!$E$22</f>
        <v>0</v>
      </c>
      <c r="H411" s="36">
        <f>[411]Hoja1!$H$22</f>
        <v>4</v>
      </c>
      <c r="I411" s="36">
        <f t="shared" si="6"/>
        <v>4</v>
      </c>
      <c r="J411" s="37">
        <f>MAX([411]Hoja1!$A$5:$A$22)</f>
        <v>44043</v>
      </c>
      <c r="K411" s="38" t="str">
        <f>IF(ISTEXT([411]Hoja1!$A$23),[411]Hoja1!$A$23,"")</f>
        <v/>
      </c>
    </row>
    <row r="412" spans="2:11" x14ac:dyDescent="0.45">
      <c r="B412" s="39" t="s">
        <v>451</v>
      </c>
      <c r="C412" s="35" t="str">
        <f>[412]Hoja1!$A$1</f>
        <v>751-11222A</v>
      </c>
      <c r="D412" s="36" t="str">
        <f>[412]Hoja1!$C$1</f>
        <v>junta tapa de engranajes -LPW</v>
      </c>
      <c r="E412" s="36">
        <f>[412]Hoja1!$I$1</f>
        <v>0</v>
      </c>
      <c r="F412" s="36">
        <f>[412]Hoja1!$I$2</f>
        <v>1</v>
      </c>
      <c r="G412" s="36">
        <f>[412]Hoja1!$E$22</f>
        <v>0</v>
      </c>
      <c r="H412" s="36">
        <f>[412]Hoja1!$H$22</f>
        <v>23</v>
      </c>
      <c r="I412" s="36">
        <f t="shared" si="6"/>
        <v>23</v>
      </c>
      <c r="J412" s="37">
        <f>MAX([412]Hoja1!$A$5:$A$22)</f>
        <v>44043</v>
      </c>
      <c r="K412" s="38" t="str">
        <f>IF(ISTEXT([412]Hoja1!$A$23),[412]Hoja1!$A$23,"")</f>
        <v>hay 3 mas origi. - muestra</v>
      </c>
    </row>
    <row r="413" spans="2:11" x14ac:dyDescent="0.45">
      <c r="B413" s="45" t="s">
        <v>452</v>
      </c>
      <c r="C413" s="35" t="str">
        <f>[413]Hoja1!$A$1</f>
        <v>751-11222I</v>
      </c>
      <c r="D413" s="36" t="str">
        <f>[413]Hoja1!$C$1</f>
        <v>junta tapa de engranajes -LPW</v>
      </c>
      <c r="E413" s="36">
        <f>[413]Hoja1!$I$1</f>
        <v>0</v>
      </c>
      <c r="F413" s="36">
        <f>[413]Hoja1!$I$2</f>
        <v>1</v>
      </c>
      <c r="G413" s="36">
        <f>[413]Hoja1!$E$22</f>
        <v>0</v>
      </c>
      <c r="H413" s="36">
        <f>[413]Hoja1!$H$22</f>
        <v>3</v>
      </c>
      <c r="I413" s="36">
        <f t="shared" si="6"/>
        <v>3</v>
      </c>
      <c r="J413" s="37">
        <f>MAX([413]Hoja1!$A$5:$A$22)</f>
        <v>44043</v>
      </c>
      <c r="K413" s="38" t="str">
        <f>IF(ISTEXT([413]Hoja1!$A$23),[413]Hoja1!$A$23,"")</f>
        <v/>
      </c>
    </row>
    <row r="414" spans="2:11" x14ac:dyDescent="0.45">
      <c r="B414" s="39" t="s">
        <v>453</v>
      </c>
      <c r="C414" s="35" t="str">
        <f>[414]Hoja1!$A$1</f>
        <v>751-11280I</v>
      </c>
      <c r="D414" s="36" t="str">
        <f>[414]Hoja1!$C$1</f>
        <v>resorte -LPW</v>
      </c>
      <c r="E414" s="36">
        <f>[414]Hoja1!$I$1</f>
        <v>0</v>
      </c>
      <c r="F414" s="36">
        <f>[414]Hoja1!$I$2</f>
        <v>1</v>
      </c>
      <c r="G414" s="36">
        <f>[414]Hoja1!$E$22</f>
        <v>0</v>
      </c>
      <c r="H414" s="36">
        <f>[414]Hoja1!$H$22</f>
        <v>8</v>
      </c>
      <c r="I414" s="36">
        <f t="shared" si="6"/>
        <v>8</v>
      </c>
      <c r="J414" s="37">
        <f>MAX([414]Hoja1!$A$5:$A$22)</f>
        <v>44043</v>
      </c>
      <c r="K414" s="38" t="str">
        <f>IF(ISTEXT([414]Hoja1!$A$23),[414]Hoja1!$A$23,"")</f>
        <v/>
      </c>
    </row>
    <row r="415" spans="2:11" x14ac:dyDescent="0.45">
      <c r="B415" s="45" t="s">
        <v>454</v>
      </c>
      <c r="C415" s="35" t="str">
        <f>[415]Hoja1!$A$1</f>
        <v>751-11280I</v>
      </c>
      <c r="D415" s="36" t="str">
        <f>[415]Hoja1!$C$1</f>
        <v>buje de cuadranate -LPW</v>
      </c>
      <c r="E415" s="36">
        <f>[415]Hoja1!$I$1</f>
        <v>0</v>
      </c>
      <c r="F415" s="36">
        <f>[415]Hoja1!$I$2</f>
        <v>2</v>
      </c>
      <c r="G415" s="36">
        <f>[415]Hoja1!$E$22</f>
        <v>0</v>
      </c>
      <c r="H415" s="36">
        <f>[415]Hoja1!$H$22</f>
        <v>2</v>
      </c>
      <c r="I415" s="36">
        <f t="shared" si="6"/>
        <v>2</v>
      </c>
      <c r="J415" s="37">
        <f>MAX([415]Hoja1!$A$5:$A$22)</f>
        <v>44043</v>
      </c>
      <c r="K415" s="38" t="str">
        <f>IF(ISTEXT([415]Hoja1!$A$23),[415]Hoja1!$A$23,"")</f>
        <v/>
      </c>
    </row>
    <row r="416" spans="2:11" x14ac:dyDescent="0.45">
      <c r="B416" s="39" t="s">
        <v>455</v>
      </c>
      <c r="C416" s="35" t="str">
        <f>[416]Hoja1!$A$1</f>
        <v>751-11460I</v>
      </c>
      <c r="D416" s="36" t="str">
        <f>[416]Hoja1!$C$1</f>
        <v>tuerca de brida de bomba -LPW</v>
      </c>
      <c r="E416" s="36">
        <f>[416]Hoja1!$I$1</f>
        <v>0</v>
      </c>
      <c r="F416" s="36">
        <f>[416]Hoja1!$I$2</f>
        <v>1</v>
      </c>
      <c r="G416" s="36">
        <f>[416]Hoja1!$E$22</f>
        <v>0</v>
      </c>
      <c r="H416" s="36">
        <f>[416]Hoja1!$H$22</f>
        <v>3</v>
      </c>
      <c r="I416" s="36">
        <f t="shared" si="6"/>
        <v>3</v>
      </c>
      <c r="J416" s="37">
        <f>MAX([416]Hoja1!$A$5:$A$22)</f>
        <v>44043</v>
      </c>
      <c r="K416" s="38" t="str">
        <f>IF(ISTEXT([416]Hoja1!$A$23),[416]Hoja1!$A$23,"")</f>
        <v/>
      </c>
    </row>
    <row r="417" spans="2:11" x14ac:dyDescent="0.45">
      <c r="B417" s="39" t="s">
        <v>456</v>
      </c>
      <c r="C417" s="35" t="str">
        <f>[417]Hoja1!$A$1</f>
        <v>751-11722I</v>
      </c>
      <c r="D417" s="36" t="str">
        <f>[417]Hoja1!$C$1</f>
        <v xml:space="preserve"> brida de bomba inyect -LPW</v>
      </c>
      <c r="E417" s="36">
        <f>[417]Hoja1!$I$1</f>
        <v>0</v>
      </c>
      <c r="F417" s="36">
        <f>[417]Hoja1!$I$2</f>
        <v>1</v>
      </c>
      <c r="G417" s="36">
        <f>[417]Hoja1!$E$22</f>
        <v>0</v>
      </c>
      <c r="H417" s="36">
        <f>[417]Hoja1!$H$22</f>
        <v>1</v>
      </c>
      <c r="I417" s="36">
        <f t="shared" si="6"/>
        <v>1</v>
      </c>
      <c r="J417" s="37">
        <f>MAX([417]Hoja1!$A$5:$A$22)</f>
        <v>44043</v>
      </c>
      <c r="K417" s="38" t="str">
        <f>IF(ISTEXT([417]Hoja1!$A$23),[417]Hoja1!$A$23,"")</f>
        <v/>
      </c>
    </row>
    <row r="418" spans="2:11" x14ac:dyDescent="0.45">
      <c r="B418" s="39" t="s">
        <v>457</v>
      </c>
      <c r="C418" s="35" t="str">
        <f>[418]Hoja1!$A$1</f>
        <v>751-11730I</v>
      </c>
      <c r="D418" s="36" t="str">
        <f>[418]Hoja1!$C$1</f>
        <v>botador hidraulico -LPW</v>
      </c>
      <c r="E418" s="36">
        <f>[418]Hoja1!$I$1</f>
        <v>0</v>
      </c>
      <c r="F418" s="36">
        <f>[418]Hoja1!$I$2</f>
        <v>1</v>
      </c>
      <c r="G418" s="36">
        <f>[418]Hoja1!$E$22</f>
        <v>4</v>
      </c>
      <c r="H418" s="36">
        <f>[418]Hoja1!$H$22</f>
        <v>20</v>
      </c>
      <c r="I418" s="36">
        <f t="shared" si="6"/>
        <v>24</v>
      </c>
      <c r="J418" s="37">
        <f>MAX([418]Hoja1!$A$5:$A$22)</f>
        <v>44135</v>
      </c>
      <c r="K418" s="38" t="str">
        <f>IF(ISTEXT([418]Hoja1!$A$23),[418]Hoja1!$A$23,"")</f>
        <v/>
      </c>
    </row>
    <row r="419" spans="2:11" x14ac:dyDescent="0.45">
      <c r="B419" s="39" t="s">
        <v>458</v>
      </c>
      <c r="C419" s="35" t="str">
        <f>[419]Hoja1!$A$1</f>
        <v>751-11761A</v>
      </c>
      <c r="D419" s="36" t="str">
        <f>[419]Hoja1!$C$1</f>
        <v xml:space="preserve"> junta de bomba alimentacion  -LPW</v>
      </c>
      <c r="E419" s="36">
        <f>[419]Hoja1!$I$1</f>
        <v>0</v>
      </c>
      <c r="F419" s="36">
        <f>[419]Hoja1!$I$2</f>
        <v>1</v>
      </c>
      <c r="G419" s="36">
        <f>[419]Hoja1!$E$22</f>
        <v>0</v>
      </c>
      <c r="H419" s="36">
        <f>[419]Hoja1!$H$22</f>
        <v>86</v>
      </c>
      <c r="I419" s="36">
        <f t="shared" si="6"/>
        <v>86</v>
      </c>
      <c r="J419" s="37">
        <f>MAX([419]Hoja1!$A$5:$A$22)</f>
        <v>44043</v>
      </c>
      <c r="K419" s="38" t="str">
        <f>IF(ISTEXT([419]Hoja1!$A$23),[419]Hoja1!$A$23,"")</f>
        <v/>
      </c>
    </row>
    <row r="420" spans="2:11" x14ac:dyDescent="0.45">
      <c r="B420" s="39" t="s">
        <v>459</v>
      </c>
      <c r="C420" s="35" t="str">
        <f>[420]Hoja1!$A$1</f>
        <v>751-11930I</v>
      </c>
      <c r="D420" s="36" t="str">
        <f>[420]Hoja1!$C$1</f>
        <v xml:space="preserve"> suplemento  -LPW</v>
      </c>
      <c r="E420" s="36">
        <f>[420]Hoja1!$I$1</f>
        <v>0</v>
      </c>
      <c r="F420" s="36">
        <f>[420]Hoja1!$I$2</f>
        <v>1</v>
      </c>
      <c r="G420" s="36">
        <f>[420]Hoja1!$E$22</f>
        <v>0</v>
      </c>
      <c r="H420" s="36">
        <f>[420]Hoja1!$H$22</f>
        <v>1</v>
      </c>
      <c r="I420" s="36">
        <f t="shared" si="6"/>
        <v>1</v>
      </c>
      <c r="J420" s="37">
        <f>MAX([420]Hoja1!$A$5:$A$22)</f>
        <v>44043</v>
      </c>
      <c r="K420" s="38" t="str">
        <f>IF(ISTEXT([420]Hoja1!$A$23),[420]Hoja1!$A$23,"")</f>
        <v/>
      </c>
    </row>
    <row r="421" spans="2:11" x14ac:dyDescent="0.45">
      <c r="B421" s="39" t="s">
        <v>460</v>
      </c>
      <c r="C421" s="35" t="str">
        <f>[421]Hoja1!$A$1</f>
        <v>751-11932I</v>
      </c>
      <c r="D421" s="36" t="str">
        <f>[421]Hoja1!$C$1</f>
        <v xml:space="preserve"> suplemento  -LPW</v>
      </c>
      <c r="E421" s="36">
        <f>[421]Hoja1!$I$1</f>
        <v>0</v>
      </c>
      <c r="F421" s="36">
        <f>[421]Hoja1!$I$2</f>
        <v>1</v>
      </c>
      <c r="G421" s="36">
        <f>[421]Hoja1!$E$22</f>
        <v>0</v>
      </c>
      <c r="H421" s="36">
        <f>[421]Hoja1!$H$22</f>
        <v>2</v>
      </c>
      <c r="I421" s="36">
        <f t="shared" si="6"/>
        <v>2</v>
      </c>
      <c r="J421" s="37">
        <f>MAX([421]Hoja1!$A$5:$A$22)</f>
        <v>44043</v>
      </c>
      <c r="K421" s="38" t="str">
        <f>IF(ISTEXT([421]Hoja1!$A$23),[421]Hoja1!$A$23,"")</f>
        <v/>
      </c>
    </row>
    <row r="422" spans="2:11" x14ac:dyDescent="0.45">
      <c r="B422" s="39" t="s">
        <v>461</v>
      </c>
      <c r="C422" s="35" t="str">
        <f>[422]Hoja1!$A$1</f>
        <v>751-12198I</v>
      </c>
      <c r="D422" s="36" t="str">
        <f>[422]Hoja1!$C$1</f>
        <v>contrapeso  1500/1800rpm -LPW</v>
      </c>
      <c r="E422" s="36">
        <f>[422]Hoja1!$I$1</f>
        <v>0</v>
      </c>
      <c r="F422" s="36">
        <f>[422]Hoja1!$I$2</f>
        <v>1</v>
      </c>
      <c r="G422" s="36">
        <f>[422]Hoja1!$E$22</f>
        <v>0</v>
      </c>
      <c r="H422" s="36">
        <f>[422]Hoja1!$H$22</f>
        <v>0</v>
      </c>
      <c r="I422" s="36">
        <f t="shared" si="6"/>
        <v>0</v>
      </c>
      <c r="J422" s="37">
        <f>MAX([422]Hoja1!$A$5:$A$22)</f>
        <v>44043</v>
      </c>
      <c r="K422" s="38" t="str">
        <f>IF(ISTEXT([422]Hoja1!$A$23),[422]Hoja1!$A$23,"")</f>
        <v/>
      </c>
    </row>
    <row r="423" spans="2:11" x14ac:dyDescent="0.45">
      <c r="B423" s="39" t="s">
        <v>462</v>
      </c>
      <c r="C423" s="35" t="str">
        <f>[423]Hoja1!$A$1</f>
        <v>751-12320I</v>
      </c>
      <c r="D423" s="36" t="str">
        <f>[423]Hoja1!$C$1</f>
        <v>valvula de admision -  LPA</v>
      </c>
      <c r="E423" s="36">
        <f>[423]Hoja1!$I$1</f>
        <v>0</v>
      </c>
      <c r="F423" s="36">
        <f>[423]Hoja1!$I$2</f>
        <v>1</v>
      </c>
      <c r="G423" s="36">
        <f>[423]Hoja1!$E$22</f>
        <v>0</v>
      </c>
      <c r="H423" s="36">
        <f>[423]Hoja1!$H$22</f>
        <v>3</v>
      </c>
      <c r="I423" s="36">
        <f t="shared" si="6"/>
        <v>3</v>
      </c>
      <c r="J423" s="37">
        <f>MAX([423]Hoja1!$A$5:$A$22)</f>
        <v>44043</v>
      </c>
      <c r="K423" s="38" t="str">
        <f>IF(ISTEXT([423]Hoja1!$A$23),[423]Hoja1!$A$23,"")</f>
        <v/>
      </c>
    </row>
    <row r="424" spans="2:11" x14ac:dyDescent="0.45">
      <c r="B424" s="45" t="s">
        <v>463</v>
      </c>
      <c r="C424" s="35" t="str">
        <f>[424]Hoja1!$A$1</f>
        <v>751-12330I</v>
      </c>
      <c r="D424" s="36" t="str">
        <f>[424]Hoja1!$C$1</f>
        <v>botador de bba de alimentacion -  LP</v>
      </c>
      <c r="E424" s="36">
        <f>[424]Hoja1!$I$1</f>
        <v>0</v>
      </c>
      <c r="F424" s="36">
        <f>[424]Hoja1!$I$2</f>
        <v>1</v>
      </c>
      <c r="G424" s="36">
        <f>[424]Hoja1!$E$22</f>
        <v>0</v>
      </c>
      <c r="H424" s="36">
        <f>[424]Hoja1!$H$22</f>
        <v>1</v>
      </c>
      <c r="I424" s="36">
        <f t="shared" si="6"/>
        <v>1</v>
      </c>
      <c r="J424" s="37">
        <f>MAX([424]Hoja1!$A$5:$A$22)</f>
        <v>44043</v>
      </c>
      <c r="K424" s="38" t="str">
        <f>IF(ISTEXT([424]Hoja1!$A$23),[424]Hoja1!$A$23,"")</f>
        <v/>
      </c>
    </row>
    <row r="425" spans="2:11" x14ac:dyDescent="0.45">
      <c r="B425" s="39" t="s">
        <v>464</v>
      </c>
      <c r="C425" s="35" t="str">
        <f>[425]Hoja1!$A$1</f>
        <v>751-12460I</v>
      </c>
      <c r="D425" s="36" t="str">
        <f>[425]Hoja1!$C$1</f>
        <v>valvula de escape  -  LPA</v>
      </c>
      <c r="E425" s="36">
        <f>[425]Hoja1!$I$1</f>
        <v>0</v>
      </c>
      <c r="F425" s="36">
        <f>[425]Hoja1!$I$2</f>
        <v>1</v>
      </c>
      <c r="G425" s="36">
        <f>[425]Hoja1!$E$22</f>
        <v>0</v>
      </c>
      <c r="H425" s="36">
        <f>[425]Hoja1!$H$22</f>
        <v>1</v>
      </c>
      <c r="I425" s="36">
        <f t="shared" si="6"/>
        <v>1</v>
      </c>
      <c r="J425" s="37">
        <f>MAX([425]Hoja1!$A$5:$A$22)</f>
        <v>44043</v>
      </c>
      <c r="K425" s="38" t="str">
        <f>IF(ISTEXT([425]Hoja1!$A$23),[425]Hoja1!$A$23,"")</f>
        <v/>
      </c>
    </row>
    <row r="426" spans="2:11" x14ac:dyDescent="0.45">
      <c r="B426" s="39" t="s">
        <v>465</v>
      </c>
      <c r="C426" s="35" t="str">
        <f>[426]Hoja1!$A$1</f>
        <v>751-12670I</v>
      </c>
      <c r="D426" s="36" t="str">
        <f>[426]Hoja1!$C$1</f>
        <v>o´ring tapa de llenado de aceite-  LP</v>
      </c>
      <c r="E426" s="36">
        <f>[426]Hoja1!$I$1</f>
        <v>0</v>
      </c>
      <c r="F426" s="36">
        <f>[426]Hoja1!$I$2</f>
        <v>1</v>
      </c>
      <c r="G426" s="36">
        <f>[426]Hoja1!$E$22</f>
        <v>0</v>
      </c>
      <c r="H426" s="36">
        <f>[426]Hoja1!$H$22</f>
        <v>3</v>
      </c>
      <c r="I426" s="36">
        <f t="shared" si="6"/>
        <v>3</v>
      </c>
      <c r="J426" s="37">
        <f>MAX([426]Hoja1!$A$5:$A$22)</f>
        <v>44043</v>
      </c>
      <c r="K426" s="38" t="str">
        <f>IF(ISTEXT([426]Hoja1!$A$23),[426]Hoja1!$A$23,"")</f>
        <v/>
      </c>
    </row>
    <row r="427" spans="2:11" x14ac:dyDescent="0.45">
      <c r="B427" s="39" t="s">
        <v>466</v>
      </c>
      <c r="C427" s="35" t="str">
        <f>[427]Hoja1!$A$1</f>
        <v>751-12680I</v>
      </c>
      <c r="D427" s="36" t="str">
        <f>[427]Hoja1!$C$1</f>
        <v>o´ring tuerca tapa de valvulas -  LP</v>
      </c>
      <c r="E427" s="36">
        <f>[427]Hoja1!$I$1</f>
        <v>0</v>
      </c>
      <c r="F427" s="36">
        <f>[427]Hoja1!$I$2</f>
        <v>1</v>
      </c>
      <c r="G427" s="36">
        <f>[427]Hoja1!$E$22</f>
        <v>0</v>
      </c>
      <c r="H427" s="36">
        <f>[427]Hoja1!$H$22</f>
        <v>22</v>
      </c>
      <c r="I427" s="36">
        <f t="shared" si="6"/>
        <v>22</v>
      </c>
      <c r="J427" s="37">
        <f>MAX([427]Hoja1!$A$5:$A$22)</f>
        <v>44043</v>
      </c>
      <c r="K427" s="38" t="str">
        <f>IF(ISTEXT([427]Hoja1!$A$23),[427]Hoja1!$A$23,"")</f>
        <v/>
      </c>
    </row>
    <row r="428" spans="2:11" x14ac:dyDescent="0.45">
      <c r="B428" s="39" t="s">
        <v>467</v>
      </c>
      <c r="C428" s="35" t="str">
        <f>[428]Hoja1!$A$1</f>
        <v>751-12692I</v>
      </c>
      <c r="D428" s="36" t="str">
        <f>[428]Hoja1!$C$1</f>
        <v>espaciador  -  LPW</v>
      </c>
      <c r="E428" s="36">
        <f>[428]Hoja1!$I$1</f>
        <v>0</v>
      </c>
      <c r="F428" s="36">
        <f>[428]Hoja1!$I$2</f>
        <v>1</v>
      </c>
      <c r="G428" s="36">
        <f>[428]Hoja1!$E$22</f>
        <v>0</v>
      </c>
      <c r="H428" s="36">
        <f>[428]Hoja1!$H$22</f>
        <v>10</v>
      </c>
      <c r="I428" s="36">
        <f t="shared" si="6"/>
        <v>10</v>
      </c>
      <c r="J428" s="37">
        <f>MAX([428]Hoja1!$A$5:$A$22)</f>
        <v>44043</v>
      </c>
      <c r="K428" s="38" t="str">
        <f>IF(ISTEXT([428]Hoja1!$A$23),[428]Hoja1!$A$23,"")</f>
        <v/>
      </c>
    </row>
    <row r="429" spans="2:11" x14ac:dyDescent="0.45">
      <c r="B429" s="45" t="s">
        <v>468</v>
      </c>
      <c r="C429" s="35" t="str">
        <f>[429]Hoja1!$A$1</f>
        <v>751-12823I</v>
      </c>
      <c r="D429" s="36" t="str">
        <f>[429]Hoja1!$C$1</f>
        <v>aro de empuje LPW</v>
      </c>
      <c r="E429" s="36">
        <f>[429]Hoja1!$I$1</f>
        <v>0</v>
      </c>
      <c r="F429" s="36">
        <f>[429]Hoja1!$I$2</f>
        <v>1</v>
      </c>
      <c r="G429" s="36">
        <f>[429]Hoja1!$E$22</f>
        <v>0</v>
      </c>
      <c r="H429" s="36">
        <f>[429]Hoja1!$H$22</f>
        <v>0</v>
      </c>
      <c r="I429" s="36">
        <f t="shared" si="6"/>
        <v>0</v>
      </c>
      <c r="J429" s="37">
        <f>MAX([429]Hoja1!$A$5:$A$22)</f>
        <v>44043</v>
      </c>
      <c r="K429" s="38" t="str">
        <f>IF(ISTEXT([429]Hoja1!$A$23),[429]Hoja1!$A$23,"")</f>
        <v/>
      </c>
    </row>
    <row r="430" spans="2:11" x14ac:dyDescent="0.45">
      <c r="B430" s="39" t="s">
        <v>469</v>
      </c>
      <c r="C430" s="35" t="str">
        <f>[430]Hoja1!$A$1</f>
        <v>751-12870I</v>
      </c>
      <c r="D430" s="36" t="str">
        <f>[430]Hoja1!$C$1</f>
        <v>filtro de aceite  LPW2</v>
      </c>
      <c r="E430" s="36">
        <f>[430]Hoja1!$I$1</f>
        <v>0</v>
      </c>
      <c r="F430" s="36">
        <f>[430]Hoja1!$I$2</f>
        <v>1</v>
      </c>
      <c r="G430" s="36">
        <f>[430]Hoja1!$E$22</f>
        <v>0</v>
      </c>
      <c r="H430" s="36">
        <f>[430]Hoja1!$H$22</f>
        <v>1</v>
      </c>
      <c r="I430" s="36">
        <f t="shared" si="6"/>
        <v>1</v>
      </c>
      <c r="J430" s="37">
        <f>MAX([430]Hoja1!$A$5:$A$22)</f>
        <v>44043</v>
      </c>
      <c r="K430" s="38" t="str">
        <f>IF(ISTEXT([430]Hoja1!$A$23),[430]Hoja1!$A$23,"")</f>
        <v/>
      </c>
    </row>
    <row r="431" spans="2:11" x14ac:dyDescent="0.45">
      <c r="B431" s="39" t="s">
        <v>470</v>
      </c>
      <c r="C431" s="35" t="str">
        <f>[431]Hoja1!$A$1</f>
        <v>751-12894I</v>
      </c>
      <c r="D431" s="36" t="str">
        <f>[431]Hoja1!$C$1</f>
        <v>esorte regulador  LPW</v>
      </c>
      <c r="E431" s="36">
        <f>[431]Hoja1!$I$1</f>
        <v>0</v>
      </c>
      <c r="F431" s="36">
        <f>[431]Hoja1!$I$2</f>
        <v>1</v>
      </c>
      <c r="G431" s="36">
        <f>[431]Hoja1!$E$22</f>
        <v>0</v>
      </c>
      <c r="H431" s="36">
        <f>[431]Hoja1!$H$22</f>
        <v>5</v>
      </c>
      <c r="I431" s="36">
        <f t="shared" si="6"/>
        <v>5</v>
      </c>
      <c r="J431" s="37">
        <f>MAX([431]Hoja1!$A$5:$A$22)</f>
        <v>44043</v>
      </c>
      <c r="K431" s="38" t="str">
        <f>IF(ISTEXT([431]Hoja1!$A$23),[431]Hoja1!$A$23,"")</f>
        <v/>
      </c>
    </row>
    <row r="432" spans="2:11" x14ac:dyDescent="0.45">
      <c r="B432" s="39" t="s">
        <v>471</v>
      </c>
      <c r="C432" s="35" t="str">
        <f>[432]Hoja1!$A$1</f>
        <v>751-12971I</v>
      </c>
      <c r="D432" s="36" t="str">
        <f>[432]Hoja1!$C$1</f>
        <v>perilla  y palanca de parada  LPW</v>
      </c>
      <c r="E432" s="36">
        <f>[432]Hoja1!$I$1</f>
        <v>0</v>
      </c>
      <c r="F432" s="36">
        <f>[432]Hoja1!$I$2</f>
        <v>1</v>
      </c>
      <c r="G432" s="36">
        <f>[432]Hoja1!$E$22</f>
        <v>0</v>
      </c>
      <c r="H432" s="36">
        <f>[432]Hoja1!$H$22</f>
        <v>2</v>
      </c>
      <c r="I432" s="36">
        <f t="shared" si="6"/>
        <v>2</v>
      </c>
      <c r="J432" s="37">
        <f>MAX([432]Hoja1!$A$5:$A$22)</f>
        <v>44043</v>
      </c>
      <c r="K432" s="38" t="str">
        <f>IF(ISTEXT([432]Hoja1!$A$23),[432]Hoja1!$A$23,"")</f>
        <v/>
      </c>
    </row>
    <row r="433" spans="2:11" x14ac:dyDescent="0.45">
      <c r="B433" s="39" t="s">
        <v>472</v>
      </c>
      <c r="C433" s="35" t="str">
        <f>[433]Hoja1!$A$1</f>
        <v>751-12980I</v>
      </c>
      <c r="D433" s="36" t="str">
        <f>[433]Hoja1!$C$1</f>
        <v>contrapeso 1500/1800 - LPW</v>
      </c>
      <c r="E433" s="36">
        <f>[433]Hoja1!$I$1</f>
        <v>0</v>
      </c>
      <c r="F433" s="36">
        <f>[433]Hoja1!$I$2</f>
        <v>1</v>
      </c>
      <c r="G433" s="36">
        <f>[433]Hoja1!$E$22</f>
        <v>6</v>
      </c>
      <c r="H433" s="36">
        <f>[433]Hoja1!$H$22</f>
        <v>14</v>
      </c>
      <c r="I433" s="36">
        <f t="shared" si="6"/>
        <v>20</v>
      </c>
      <c r="J433" s="37">
        <f>MAX([433]Hoja1!$A$5:$A$22)</f>
        <v>44116</v>
      </c>
      <c r="K433" s="38" t="str">
        <f>IF(ISTEXT([433]Hoja1!$A$23),[433]Hoja1!$A$23,"")</f>
        <v/>
      </c>
    </row>
    <row r="434" spans="2:11" x14ac:dyDescent="0.45">
      <c r="B434" s="39" t="s">
        <v>473</v>
      </c>
      <c r="C434" s="35" t="str">
        <f>[434]Hoja1!$A$1</f>
        <v>751-12983I</v>
      </c>
      <c r="D434" s="36" t="str">
        <f>[434]Hoja1!$C$1</f>
        <v>contrapeso 1500/1800 -B27/81 LPW</v>
      </c>
      <c r="E434" s="36">
        <f>[434]Hoja1!$I$1</f>
        <v>0</v>
      </c>
      <c r="F434" s="36">
        <f>[434]Hoja1!$I$2</f>
        <v>1</v>
      </c>
      <c r="G434" s="36">
        <f>[434]Hoja1!$E$22</f>
        <v>0</v>
      </c>
      <c r="H434" s="36">
        <f>[434]Hoja1!$H$22</f>
        <v>4</v>
      </c>
      <c r="I434" s="36">
        <f t="shared" si="6"/>
        <v>4</v>
      </c>
      <c r="J434" s="37">
        <f>MAX([434]Hoja1!$A$5:$A$22)</f>
        <v>44043</v>
      </c>
      <c r="K434" s="38" t="str">
        <f>IF(ISTEXT([434]Hoja1!$A$23),[434]Hoja1!$A$23,"")</f>
        <v/>
      </c>
    </row>
    <row r="435" spans="2:11" x14ac:dyDescent="0.45">
      <c r="B435" s="39" t="s">
        <v>474</v>
      </c>
      <c r="C435" s="35" t="str">
        <f>[435]Hoja1!$A$1</f>
        <v>751-13010I</v>
      </c>
      <c r="D435" s="36" t="str">
        <f>[435]Hoja1!$C$1</f>
        <v>reten de eje pivot LPW</v>
      </c>
      <c r="E435" s="36">
        <f>[435]Hoja1!$I$1</f>
        <v>0</v>
      </c>
      <c r="F435" s="36">
        <f>[435]Hoja1!$I$2</f>
        <v>1</v>
      </c>
      <c r="G435" s="36">
        <f>[435]Hoja1!$E$22</f>
        <v>0</v>
      </c>
      <c r="H435" s="36">
        <f>[435]Hoja1!$H$22</f>
        <v>2</v>
      </c>
      <c r="I435" s="36">
        <f t="shared" si="6"/>
        <v>2</v>
      </c>
      <c r="J435" s="37">
        <f>MAX([435]Hoja1!$A$5:$A$22)</f>
        <v>44043</v>
      </c>
      <c r="K435" s="38" t="str">
        <f>IF(ISTEXT([435]Hoja1!$A$23),[435]Hoja1!$A$23,"")</f>
        <v/>
      </c>
    </row>
    <row r="436" spans="2:11" x14ac:dyDescent="0.45">
      <c r="B436" s="39" t="s">
        <v>475</v>
      </c>
      <c r="C436" s="35" t="str">
        <f>[436]Hoja1!$A$1</f>
        <v>751-13054I</v>
      </c>
      <c r="D436" s="36" t="str">
        <f>[436]Hoja1!$C$1</f>
        <v>cuadrante control velocidad LPW</v>
      </c>
      <c r="E436" s="36">
        <f>[436]Hoja1!$I$1</f>
        <v>0</v>
      </c>
      <c r="F436" s="36">
        <f>[436]Hoja1!$I$2</f>
        <v>1</v>
      </c>
      <c r="G436" s="36">
        <f>[436]Hoja1!$E$22</f>
        <v>0</v>
      </c>
      <c r="H436" s="36">
        <f>[436]Hoja1!$H$22</f>
        <v>2</v>
      </c>
      <c r="I436" s="36">
        <f t="shared" si="6"/>
        <v>2</v>
      </c>
      <c r="J436" s="37">
        <f>MAX([436]Hoja1!$A$5:$A$22)</f>
        <v>44043</v>
      </c>
      <c r="K436" s="38" t="str">
        <f>IF(ISTEXT([436]Hoja1!$A$23),[436]Hoja1!$A$23,"")</f>
        <v/>
      </c>
    </row>
    <row r="437" spans="2:11" x14ac:dyDescent="0.45">
      <c r="B437" s="45" t="s">
        <v>476</v>
      </c>
      <c r="C437" s="35" t="str">
        <f>[437]Hoja1!$A$1</f>
        <v xml:space="preserve">751-13100I </v>
      </c>
      <c r="D437" s="36" t="str">
        <f>[437]Hoja1!$C$1</f>
        <v>pieza T de retorno LPW</v>
      </c>
      <c r="E437" s="36">
        <f>[437]Hoja1!$I$1</f>
        <v>0</v>
      </c>
      <c r="F437" s="36">
        <f>[437]Hoja1!$I$2</f>
        <v>1</v>
      </c>
      <c r="G437" s="36">
        <f>[437]Hoja1!$E$22</f>
        <v>7</v>
      </c>
      <c r="H437" s="36">
        <f>[437]Hoja1!$H$22</f>
        <v>1</v>
      </c>
      <c r="I437" s="36">
        <f t="shared" si="6"/>
        <v>8</v>
      </c>
      <c r="J437" s="37">
        <f>MAX([437]Hoja1!$A$5:$A$22)</f>
        <v>44109</v>
      </c>
      <c r="K437" s="38" t="str">
        <f>IF(ISTEXT([437]Hoja1!$A$23),[437]Hoja1!$A$23,"")</f>
        <v>hay 26 mas nacionals de lavaparabrisas  autom</v>
      </c>
    </row>
    <row r="438" spans="2:11" x14ac:dyDescent="0.45">
      <c r="B438" s="45" t="s">
        <v>477</v>
      </c>
      <c r="C438" s="35" t="str">
        <f>[438]Hoja1!$A$1</f>
        <v xml:space="preserve">751-13130I </v>
      </c>
      <c r="D438" s="36" t="str">
        <f>[438]Hoja1!$C$1</f>
        <v>arandela de empuje - acero LPW</v>
      </c>
      <c r="E438" s="36">
        <f>[438]Hoja1!$I$1</f>
        <v>0</v>
      </c>
      <c r="F438" s="36">
        <f>[438]Hoja1!$I$2</f>
        <v>1</v>
      </c>
      <c r="G438" s="36">
        <f>[438]Hoja1!$E$22</f>
        <v>0</v>
      </c>
      <c r="H438" s="36">
        <f>[438]Hoja1!$H$22</f>
        <v>9</v>
      </c>
      <c r="I438" s="36">
        <f t="shared" si="6"/>
        <v>9</v>
      </c>
      <c r="J438" s="37">
        <f>MAX([438]Hoja1!$A$5:$A$22)</f>
        <v>44043</v>
      </c>
      <c r="K438" s="38" t="str">
        <f>IF(ISTEXT([438]Hoja1!$A$23),[438]Hoja1!$A$23,"")</f>
        <v>hay 29 mas nacionals de lavaparabrisas  autom</v>
      </c>
    </row>
    <row r="439" spans="2:11" x14ac:dyDescent="0.45">
      <c r="B439" s="39" t="s">
        <v>478</v>
      </c>
      <c r="C439" s="35" t="str">
        <f>[439]Hoja1!$A$1</f>
        <v>751-13570I</v>
      </c>
      <c r="D439" s="36" t="str">
        <f>[439]Hoja1!$C$1</f>
        <v>deflector de vastago de valvula LPW</v>
      </c>
      <c r="E439" s="36">
        <f>[439]Hoja1!$I$1</f>
        <v>0</v>
      </c>
      <c r="F439" s="36">
        <f>[439]Hoja1!$I$2</f>
        <v>1</v>
      </c>
      <c r="G439" s="36">
        <f>[439]Hoja1!$E$22</f>
        <v>0</v>
      </c>
      <c r="H439" s="36">
        <f>[439]Hoja1!$H$22</f>
        <v>15</v>
      </c>
      <c r="I439" s="36">
        <f t="shared" si="6"/>
        <v>15</v>
      </c>
      <c r="J439" s="37">
        <f>MAX([439]Hoja1!$A$5:$A$22)</f>
        <v>44043</v>
      </c>
      <c r="K439" s="38" t="str">
        <f>IF(ISTEXT([439]Hoja1!$A$23),[439]Hoja1!$A$23,"")</f>
        <v xml:space="preserve">tipo capuchon. se reemplaza por 751-41701 que son de goma y resorte, pero pueden usarse </v>
      </c>
    </row>
    <row r="440" spans="2:11" x14ac:dyDescent="0.45">
      <c r="B440" s="39" t="s">
        <v>479</v>
      </c>
      <c r="C440" s="35" t="str">
        <f>[440]Hoja1!$A$1</f>
        <v>751-13971I</v>
      </c>
      <c r="D440" s="36" t="str">
        <f>[440]Hoja1!$C$1</f>
        <v>portacontrapesos LPW</v>
      </c>
      <c r="E440" s="36">
        <f>[440]Hoja1!$I$1</f>
        <v>0</v>
      </c>
      <c r="F440" s="36">
        <f>[440]Hoja1!$I$2</f>
        <v>1</v>
      </c>
      <c r="G440" s="36">
        <f>[440]Hoja1!$E$22</f>
        <v>0</v>
      </c>
      <c r="H440" s="36">
        <f>[440]Hoja1!$H$22</f>
        <v>3</v>
      </c>
      <c r="I440" s="36">
        <f t="shared" si="6"/>
        <v>3</v>
      </c>
      <c r="J440" s="37">
        <f>MAX([440]Hoja1!$A$5:$A$22)</f>
        <v>44043</v>
      </c>
      <c r="K440" s="38" t="str">
        <f>IF(ISTEXT([440]Hoja1!$A$23),[440]Hoja1!$A$23,"")</f>
        <v>se reemplaza por 751-41701</v>
      </c>
    </row>
    <row r="441" spans="2:11" x14ac:dyDescent="0.45">
      <c r="B441" s="39" t="s">
        <v>480</v>
      </c>
      <c r="C441" s="35" t="str">
        <f>[441]Hoja1!$A$1</f>
        <v>751-14730I</v>
      </c>
      <c r="D441" s="36" t="str">
        <f>[441]Hoja1!$C$1</f>
        <v>esparrago traba de botador c/rodillo</v>
      </c>
      <c r="E441" s="36">
        <f>[441]Hoja1!$I$1</f>
        <v>0</v>
      </c>
      <c r="F441" s="36">
        <f>[441]Hoja1!$I$2</f>
        <v>1</v>
      </c>
      <c r="G441" s="36">
        <f>[441]Hoja1!$E$22</f>
        <v>0</v>
      </c>
      <c r="H441" s="36">
        <f>[441]Hoja1!$H$22</f>
        <v>1</v>
      </c>
      <c r="I441" s="36">
        <f t="shared" si="6"/>
        <v>1</v>
      </c>
      <c r="J441" s="37">
        <f>MAX([441]Hoja1!$A$5:$A$22)</f>
        <v>44043</v>
      </c>
      <c r="K441" s="38" t="str">
        <f>IF(ISTEXT([441]Hoja1!$A$23),[441]Hoja1!$A$23,"")</f>
        <v>de desarve - s/v contable</v>
      </c>
    </row>
    <row r="442" spans="2:11" x14ac:dyDescent="0.45">
      <c r="B442" s="39" t="s">
        <v>481</v>
      </c>
      <c r="C442" s="35" t="str">
        <f>[442]Hoja1!$A$1</f>
        <v>751-14780I</v>
      </c>
      <c r="D442" s="36" t="str">
        <f>[442]Hoja1!$C$1</f>
        <v>caño de inyector - lado engranajes LPW</v>
      </c>
      <c r="E442" s="36">
        <f>[442]Hoja1!$I$1</f>
        <v>0</v>
      </c>
      <c r="F442" s="36">
        <f>[442]Hoja1!$I$2</f>
        <v>1</v>
      </c>
      <c r="G442" s="36">
        <f>[442]Hoja1!$E$22</f>
        <v>0</v>
      </c>
      <c r="H442" s="36">
        <f>[442]Hoja1!$H$22</f>
        <v>2</v>
      </c>
      <c r="I442" s="36">
        <f t="shared" si="6"/>
        <v>2</v>
      </c>
      <c r="J442" s="37">
        <f>MAX([442]Hoja1!$A$5:$A$22)</f>
        <v>44043</v>
      </c>
      <c r="K442" s="38" t="str">
        <f>IF(ISTEXT([442]Hoja1!$A$23),[442]Hoja1!$A$23,"")</f>
        <v/>
      </c>
    </row>
    <row r="443" spans="2:11" x14ac:dyDescent="0.45">
      <c r="B443" s="39" t="s">
        <v>482</v>
      </c>
      <c r="C443" s="35" t="str">
        <f>[443]Hoja1!$A$1</f>
        <v>751-15043I</v>
      </c>
      <c r="D443" s="36" t="str">
        <f>[443]Hoja1!$C$1</f>
        <v>placa base cuadrante de veloc. LPW</v>
      </c>
      <c r="E443" s="36">
        <f>[443]Hoja1!$I$1</f>
        <v>0</v>
      </c>
      <c r="F443" s="36">
        <f>[443]Hoja1!$I$2</f>
        <v>1</v>
      </c>
      <c r="G443" s="36">
        <f>[443]Hoja1!$E$22</f>
        <v>0</v>
      </c>
      <c r="H443" s="36">
        <f>[443]Hoja1!$H$22</f>
        <v>1</v>
      </c>
      <c r="I443" s="36">
        <f t="shared" si="6"/>
        <v>1</v>
      </c>
      <c r="J443" s="37">
        <f>MAX([443]Hoja1!$A$5:$A$22)</f>
        <v>44043</v>
      </c>
      <c r="K443" s="38" t="str">
        <f>IF(ISTEXT([443]Hoja1!$A$23),[443]Hoja1!$A$23,"")</f>
        <v/>
      </c>
    </row>
    <row r="444" spans="2:11" x14ac:dyDescent="0.45">
      <c r="B444" s="39" t="s">
        <v>483</v>
      </c>
      <c r="C444" s="35" t="str">
        <f>[444]Hoja1!$A$1</f>
        <v>751-15050I</v>
      </c>
      <c r="D444" s="36" t="str">
        <f>[444]Hoja1!$C$1</f>
        <v>reten resorte del regulador. LPW</v>
      </c>
      <c r="E444" s="36">
        <f>[444]Hoja1!$I$1</f>
        <v>0</v>
      </c>
      <c r="F444" s="36">
        <f>[444]Hoja1!$I$2</f>
        <v>1</v>
      </c>
      <c r="G444" s="36">
        <f>[444]Hoja1!$E$22</f>
        <v>0</v>
      </c>
      <c r="H444" s="36">
        <f>[444]Hoja1!$H$22</f>
        <v>2</v>
      </c>
      <c r="I444" s="36">
        <f t="shared" si="6"/>
        <v>2</v>
      </c>
      <c r="J444" s="37">
        <f>MAX([444]Hoja1!$A$5:$A$22)</f>
        <v>44043</v>
      </c>
      <c r="K444" s="38" t="str">
        <f>IF(ISTEXT([444]Hoja1!$A$23),[444]Hoja1!$A$23,"")</f>
        <v>se reemplaza por 751-41701</v>
      </c>
    </row>
    <row r="445" spans="2:11" x14ac:dyDescent="0.45">
      <c r="B445" s="39" t="s">
        <v>484</v>
      </c>
      <c r="C445" s="35" t="str">
        <f>[445]Hoja1!$A$1</f>
        <v>751-15061I</v>
      </c>
      <c r="D445" s="36" t="str">
        <f>[445]Hoja1!$C$1</f>
        <v>resorte de palanca. LPW</v>
      </c>
      <c r="E445" s="36">
        <f>[445]Hoja1!$I$1</f>
        <v>0</v>
      </c>
      <c r="F445" s="36">
        <f>[445]Hoja1!$I$2</f>
        <v>1</v>
      </c>
      <c r="G445" s="36">
        <f>[445]Hoja1!$E$22</f>
        <v>0</v>
      </c>
      <c r="H445" s="36">
        <f>[445]Hoja1!$H$22</f>
        <v>5</v>
      </c>
      <c r="I445" s="36">
        <f t="shared" si="6"/>
        <v>5</v>
      </c>
      <c r="J445" s="37">
        <f>MAX([445]Hoja1!$A$5:$A$22)</f>
        <v>44043</v>
      </c>
      <c r="K445" s="38" t="str">
        <f>IF(ISTEXT([445]Hoja1!$A$23),[445]Hoja1!$A$23,"")</f>
        <v>antes 751-15060</v>
      </c>
    </row>
    <row r="446" spans="2:11" x14ac:dyDescent="0.45">
      <c r="B446" s="39" t="s">
        <v>485</v>
      </c>
      <c r="C446" s="35" t="str">
        <f>[446]Hoja1!$A$1</f>
        <v>751-15070I</v>
      </c>
      <c r="D446" s="36" t="str">
        <f>[446]Hoja1!$C$1</f>
        <v xml:space="preserve"> pivot de palanca. LPW</v>
      </c>
      <c r="E446" s="36">
        <f>[446]Hoja1!$I$1</f>
        <v>0</v>
      </c>
      <c r="F446" s="36">
        <f>[446]Hoja1!$I$2</f>
        <v>1</v>
      </c>
      <c r="G446" s="36">
        <f>[446]Hoja1!$E$22</f>
        <v>0</v>
      </c>
      <c r="H446" s="36">
        <f>[446]Hoja1!$H$22</f>
        <v>3</v>
      </c>
      <c r="I446" s="36">
        <f t="shared" si="6"/>
        <v>3</v>
      </c>
      <c r="J446" s="37">
        <f>MAX([446]Hoja1!$A$5:$A$22)</f>
        <v>44043</v>
      </c>
      <c r="K446" s="38" t="str">
        <f>IF(ISTEXT([446]Hoja1!$A$23),[446]Hoja1!$A$23,"")</f>
        <v>antes 751-15060</v>
      </c>
    </row>
    <row r="447" spans="2:11" x14ac:dyDescent="0.45">
      <c r="B447" s="39" t="s">
        <v>486</v>
      </c>
      <c r="C447" s="35" t="str">
        <f>[447]Hoja1!$A$1</f>
        <v>751-15201I</v>
      </c>
      <c r="D447" s="36" t="str">
        <f>[447]Hoja1!$C$1</f>
        <v>placa marcha/parada con solenoide. LPW</v>
      </c>
      <c r="E447" s="36">
        <f>[447]Hoja1!$I$1</f>
        <v>0</v>
      </c>
      <c r="F447" s="36">
        <f>[447]Hoja1!$I$2</f>
        <v>1</v>
      </c>
      <c r="G447" s="36">
        <f>[447]Hoja1!$E$22</f>
        <v>0</v>
      </c>
      <c r="H447" s="36">
        <f>[447]Hoja1!$H$22</f>
        <v>10</v>
      </c>
      <c r="I447" s="36">
        <f t="shared" si="6"/>
        <v>10</v>
      </c>
      <c r="J447" s="37">
        <f>MAX([447]Hoja1!$A$5:$A$22)</f>
        <v>44043</v>
      </c>
      <c r="K447" s="38" t="str">
        <f>IF(ISTEXT([447]Hoja1!$A$23),[447]Hoja1!$A$23,"")</f>
        <v>antes 751-15060</v>
      </c>
    </row>
    <row r="448" spans="2:11" x14ac:dyDescent="0.45">
      <c r="B448" s="39" t="s">
        <v>487</v>
      </c>
      <c r="C448" s="35" t="str">
        <f>[448]Hoja1!$A$1</f>
        <v>751-15360I</v>
      </c>
      <c r="D448" s="36" t="str">
        <f>[448]Hoja1!$C$1</f>
        <v>buje LPW</v>
      </c>
      <c r="E448" s="36">
        <f>[448]Hoja1!$I$1</f>
        <v>0</v>
      </c>
      <c r="F448" s="36">
        <f>[448]Hoja1!$I$2</f>
        <v>1</v>
      </c>
      <c r="G448" s="36">
        <f>[448]Hoja1!$E$22</f>
        <v>0</v>
      </c>
      <c r="H448" s="36">
        <f>[448]Hoja1!$H$22</f>
        <v>13</v>
      </c>
      <c r="I448" s="36">
        <f t="shared" si="6"/>
        <v>13</v>
      </c>
      <c r="J448" s="37">
        <f>MAX([448]Hoja1!$A$5:$A$22)</f>
        <v>44043</v>
      </c>
      <c r="K448" s="38" t="str">
        <f>IF(ISTEXT([448]Hoja1!$A$23),[448]Hoja1!$A$23,"")</f>
        <v>antes 751-15060</v>
      </c>
    </row>
    <row r="449" spans="2:11" x14ac:dyDescent="0.45">
      <c r="B449" s="39" t="s">
        <v>488</v>
      </c>
      <c r="C449" s="35" t="str">
        <f>[449]Hoja1!$A$1</f>
        <v>751-15430I</v>
      </c>
      <c r="D449" s="36" t="str">
        <f>[449]Hoja1!$C$1</f>
        <v>arandela de empuje pivotante LPW</v>
      </c>
      <c r="E449" s="36">
        <f>[449]Hoja1!$I$1</f>
        <v>0</v>
      </c>
      <c r="F449" s="36">
        <f>[449]Hoja1!$I$2</f>
        <v>1</v>
      </c>
      <c r="G449" s="36">
        <f>[449]Hoja1!$E$22</f>
        <v>2</v>
      </c>
      <c r="H449" s="36">
        <f>[449]Hoja1!$H$22</f>
        <v>0</v>
      </c>
      <c r="I449" s="36">
        <f t="shared" si="6"/>
        <v>2</v>
      </c>
      <c r="J449" s="37">
        <f>MAX([449]Hoja1!$A$5:$A$22)</f>
        <v>44056</v>
      </c>
      <c r="K449" s="38" t="str">
        <f>IF(ISTEXT([449]Hoja1!$A$23),[449]Hoja1!$A$23,"")</f>
        <v/>
      </c>
    </row>
    <row r="450" spans="2:11" x14ac:dyDescent="0.45">
      <c r="B450" s="39" t="s">
        <v>489</v>
      </c>
      <c r="C450" s="35" t="str">
        <f>[450]Hoja1!$A$1</f>
        <v>751-15441I</v>
      </c>
      <c r="D450" s="36" t="str">
        <f>[450]Hoja1!$C$1</f>
        <v>manguito de empuje LPW</v>
      </c>
      <c r="E450" s="36">
        <f>[450]Hoja1!$I$1</f>
        <v>0</v>
      </c>
      <c r="F450" s="36">
        <f>[450]Hoja1!$I$2</f>
        <v>1</v>
      </c>
      <c r="G450" s="36">
        <f>[450]Hoja1!$E$22</f>
        <v>0</v>
      </c>
      <c r="H450" s="36">
        <f>[450]Hoja1!$H$22</f>
        <v>2</v>
      </c>
      <c r="I450" s="36">
        <f t="shared" si="6"/>
        <v>2</v>
      </c>
      <c r="J450" s="37">
        <f>MAX([450]Hoja1!$A$5:$A$22)</f>
        <v>44043</v>
      </c>
      <c r="K450" s="38" t="str">
        <f>IF(ISTEXT([450]Hoja1!$A$23),[450]Hoja1!$A$23,"")</f>
        <v>antes 751-15060</v>
      </c>
    </row>
    <row r="451" spans="2:11" x14ac:dyDescent="0.45">
      <c r="B451" s="39" t="s">
        <v>490</v>
      </c>
      <c r="C451" s="35" t="str">
        <f>[451]Hoja1!$A$1</f>
        <v>751-15460I</v>
      </c>
      <c r="D451" s="36" t="str">
        <f>[451]Hoja1!$C$1</f>
        <v>contrapeso 3000/3600 LPW</v>
      </c>
      <c r="E451" s="36">
        <f>[451]Hoja1!$I$1</f>
        <v>0</v>
      </c>
      <c r="F451" s="36">
        <f>[451]Hoja1!$I$2</f>
        <v>1</v>
      </c>
      <c r="G451" s="36">
        <f>[451]Hoja1!$E$22</f>
        <v>0</v>
      </c>
      <c r="H451" s="36">
        <f>[451]Hoja1!$H$22</f>
        <v>0</v>
      </c>
      <c r="I451" s="36">
        <f t="shared" ref="I451:I514" si="7">SUM(G451:H451)</f>
        <v>0</v>
      </c>
      <c r="J451" s="37">
        <f>MAX([451]Hoja1!$A$5:$A$22)</f>
        <v>44043</v>
      </c>
      <c r="K451" s="38" t="str">
        <f>IF(ISTEXT([451]Hoja1!$A$23),[451]Hoja1!$A$23,"")</f>
        <v>antes 751-15060</v>
      </c>
    </row>
    <row r="452" spans="2:11" x14ac:dyDescent="0.45">
      <c r="B452" s="39" t="s">
        <v>491</v>
      </c>
      <c r="C452" s="35" t="str">
        <f>[452]Hoja1!$A$1</f>
        <v>751-15720I</v>
      </c>
      <c r="D452" s="36" t="str">
        <f>[452]Hoja1!$C$1</f>
        <v>resorte de velocidad  LPW</v>
      </c>
      <c r="E452" s="36">
        <f>[452]Hoja1!$I$1</f>
        <v>0</v>
      </c>
      <c r="F452" s="36">
        <f>[452]Hoja1!$I$2</f>
        <v>1</v>
      </c>
      <c r="G452" s="36">
        <f>[452]Hoja1!$E$22</f>
        <v>0</v>
      </c>
      <c r="H452" s="36">
        <f>[452]Hoja1!$H$22</f>
        <v>7</v>
      </c>
      <c r="I452" s="36">
        <f t="shared" si="7"/>
        <v>7</v>
      </c>
      <c r="J452" s="37">
        <f>MAX([452]Hoja1!$A$5:$A$22)</f>
        <v>44043</v>
      </c>
      <c r="K452" s="38" t="str">
        <f>IF(ISTEXT([452]Hoja1!$A$23),[452]Hoja1!$A$23,"")</f>
        <v>antes 751-15060</v>
      </c>
    </row>
    <row r="453" spans="2:11" x14ac:dyDescent="0.45">
      <c r="B453" s="39" t="s">
        <v>492</v>
      </c>
      <c r="C453" s="35" t="str">
        <f>[453]Hoja1!$A$1</f>
        <v>751-15871I</v>
      </c>
      <c r="D453" s="36" t="str">
        <f>[453]Hoja1!$C$1</f>
        <v>tobera suelta  LPW</v>
      </c>
      <c r="E453" s="36">
        <f>[453]Hoja1!$I$1</f>
        <v>0</v>
      </c>
      <c r="F453" s="36">
        <f>[453]Hoja1!$I$2</f>
        <v>1</v>
      </c>
      <c r="G453" s="36">
        <f>[453]Hoja1!$E$22</f>
        <v>0</v>
      </c>
      <c r="H453" s="36">
        <f>[453]Hoja1!$H$22</f>
        <v>6</v>
      </c>
      <c r="I453" s="36">
        <f t="shared" si="7"/>
        <v>6</v>
      </c>
      <c r="J453" s="37">
        <f>MAX([453]Hoja1!$A$5:$A$22)</f>
        <v>44043</v>
      </c>
      <c r="K453" s="38" t="str">
        <f>IF(ISTEXT([453]Hoja1!$A$23),[453]Hoja1!$A$23,"")</f>
        <v>fuera de lista -queda para servicio interno -  vender solo inyector completo 751-19700</v>
      </c>
    </row>
    <row r="454" spans="2:11" x14ac:dyDescent="0.45">
      <c r="B454" s="39" t="s">
        <v>493</v>
      </c>
      <c r="C454" s="35" t="str">
        <f>[454]Hoja1!$A$1</f>
        <v>751-16010I</v>
      </c>
      <c r="D454" s="36" t="str">
        <f>[454]Hoja1!$C$1</f>
        <v>buje  LPW</v>
      </c>
      <c r="E454" s="36">
        <f>[454]Hoja1!$I$1</f>
        <v>0</v>
      </c>
      <c r="F454" s="36">
        <f>[454]Hoja1!$I$2</f>
        <v>1</v>
      </c>
      <c r="G454" s="36">
        <f>[454]Hoja1!$E$22</f>
        <v>0</v>
      </c>
      <c r="H454" s="36">
        <f>[454]Hoja1!$H$22</f>
        <v>2</v>
      </c>
      <c r="I454" s="36">
        <f t="shared" si="7"/>
        <v>2</v>
      </c>
      <c r="J454" s="37">
        <f>MAX([454]Hoja1!$A$5:$A$22)</f>
        <v>44043</v>
      </c>
      <c r="K454" s="38" t="str">
        <f>IF(ISTEXT([454]Hoja1!$A$23),[454]Hoja1!$A$23,"")</f>
        <v/>
      </c>
    </row>
    <row r="455" spans="2:11" x14ac:dyDescent="0.45">
      <c r="B455" s="39" t="s">
        <v>494</v>
      </c>
      <c r="C455" s="35" t="str">
        <f>[455]Hoja1!$A$1</f>
        <v>751-16612I</v>
      </c>
      <c r="D455" s="36" t="str">
        <f>[455]Hoja1!$C$1</f>
        <v>resorte del regulador 3000/3600 LPW</v>
      </c>
      <c r="E455" s="36">
        <f>[455]Hoja1!$I$1</f>
        <v>0</v>
      </c>
      <c r="F455" s="36">
        <f>[455]Hoja1!$I$2</f>
        <v>1</v>
      </c>
      <c r="G455" s="36">
        <f>[455]Hoja1!$E$22</f>
        <v>0</v>
      </c>
      <c r="H455" s="36">
        <f>[455]Hoja1!$H$22</f>
        <v>8</v>
      </c>
      <c r="I455" s="36">
        <f t="shared" si="7"/>
        <v>8</v>
      </c>
      <c r="J455" s="37">
        <f>MAX([455]Hoja1!$A$5:$A$22)</f>
        <v>44043</v>
      </c>
      <c r="K455" s="38" t="str">
        <f>IF(ISTEXT([455]Hoja1!$A$23),[455]Hoja1!$A$23,"")</f>
        <v>hay una mas "A" sacada de una conversion de velocidad en m paz</v>
      </c>
    </row>
    <row r="456" spans="2:11" x14ac:dyDescent="0.45">
      <c r="B456" s="39" t="s">
        <v>495</v>
      </c>
      <c r="C456" s="35" t="str">
        <f>[456]Hoja1!$A$1</f>
        <v>751-16613I</v>
      </c>
      <c r="D456" s="36" t="str">
        <f>[456]Hoja1!$C$1</f>
        <v>resorte del regulador 1500/18000 LPW</v>
      </c>
      <c r="E456" s="36">
        <f>[456]Hoja1!$I$1</f>
        <v>0</v>
      </c>
      <c r="F456" s="36">
        <f>[456]Hoja1!$I$2</f>
        <v>1</v>
      </c>
      <c r="G456" s="36">
        <f>[456]Hoja1!$E$22</f>
        <v>0</v>
      </c>
      <c r="H456" s="36">
        <f>[456]Hoja1!$H$22</f>
        <v>11</v>
      </c>
      <c r="I456" s="36">
        <f t="shared" si="7"/>
        <v>11</v>
      </c>
      <c r="J456" s="37">
        <f>MAX([456]Hoja1!$A$5:$A$22)</f>
        <v>44043</v>
      </c>
      <c r="K456" s="38" t="str">
        <f>IF(ISTEXT([456]Hoja1!$A$23),[456]Hoja1!$A$23,"")</f>
        <v>fuera de lista -queda para servicio interno -  vender solo inyector completo 751-19700</v>
      </c>
    </row>
    <row r="457" spans="2:11" x14ac:dyDescent="0.45">
      <c r="B457" s="39" t="s">
        <v>496</v>
      </c>
      <c r="C457" s="35" t="str">
        <f>[457]Hoja1!$A$1</f>
        <v>751-17230I</v>
      </c>
      <c r="D457" s="36" t="str">
        <f>[457]Hoja1!$C$1</f>
        <v>restrictor de admision LPW</v>
      </c>
      <c r="E457" s="36">
        <f>[457]Hoja1!$I$1</f>
        <v>0</v>
      </c>
      <c r="F457" s="36">
        <f>[457]Hoja1!$I$2</f>
        <v>1</v>
      </c>
      <c r="G457" s="36">
        <f>[457]Hoja1!$E$22</f>
        <v>0</v>
      </c>
      <c r="H457" s="36">
        <f>[457]Hoja1!$H$22</f>
        <v>1</v>
      </c>
      <c r="I457" s="36">
        <f t="shared" si="7"/>
        <v>1</v>
      </c>
      <c r="J457" s="37">
        <f>MAX([457]Hoja1!$A$5:$A$22)</f>
        <v>44043</v>
      </c>
      <c r="K457" s="38" t="str">
        <f>IF(ISTEXT([457]Hoja1!$A$23),[457]Hoja1!$A$23,"")</f>
        <v/>
      </c>
    </row>
    <row r="458" spans="2:11" x14ac:dyDescent="0.45">
      <c r="B458" s="39" t="s">
        <v>497</v>
      </c>
      <c r="C458" s="35" t="str">
        <f>[458]Hoja1!$A$1</f>
        <v>751-17800I</v>
      </c>
      <c r="D458" s="36" t="str">
        <f>[458]Hoja1!$C$1</f>
        <v>porta contrapesos B10/38/83 LPW</v>
      </c>
      <c r="E458" s="36">
        <f>[458]Hoja1!$I$1</f>
        <v>0</v>
      </c>
      <c r="F458" s="36">
        <f>[458]Hoja1!$I$2</f>
        <v>1</v>
      </c>
      <c r="G458" s="36">
        <f>[458]Hoja1!$E$22</f>
        <v>0</v>
      </c>
      <c r="H458" s="36">
        <f>[458]Hoja1!$H$22</f>
        <v>12</v>
      </c>
      <c r="I458" s="36">
        <f t="shared" si="7"/>
        <v>12</v>
      </c>
      <c r="J458" s="37">
        <f>MAX([458]Hoja1!$A$5:$A$22)</f>
        <v>44043</v>
      </c>
      <c r="K458" s="38" t="str">
        <f>IF(ISTEXT([458]Hoja1!$A$23),[458]Hoja1!$A$23,"")</f>
        <v/>
      </c>
    </row>
    <row r="459" spans="2:11" x14ac:dyDescent="0.45">
      <c r="B459" s="39" t="s">
        <v>498</v>
      </c>
      <c r="C459" s="35" t="str">
        <f>[459]Hoja1!$A$1</f>
        <v>751-17810A</v>
      </c>
      <c r="D459" s="36" t="str">
        <f>[459]Hoja1!$C$1</f>
        <v>correa de ventilador LPW</v>
      </c>
      <c r="E459" s="36">
        <f>[459]Hoja1!$I$1</f>
        <v>0</v>
      </c>
      <c r="F459" s="36">
        <f>[459]Hoja1!$I$2</f>
        <v>1</v>
      </c>
      <c r="G459" s="36">
        <f>[459]Hoja1!$E$22</f>
        <v>0</v>
      </c>
      <c r="H459" s="36">
        <f>[459]Hoja1!$H$22</f>
        <v>3</v>
      </c>
      <c r="I459" s="36">
        <f t="shared" si="7"/>
        <v>3</v>
      </c>
      <c r="J459" s="37">
        <f>MAX([459]Hoja1!$A$5:$A$22)</f>
        <v>44043</v>
      </c>
      <c r="K459" s="38" t="str">
        <f>IF(ISTEXT([459]Hoja1!$A$23),[459]Hoja1!$A$23,"")</f>
        <v>4PK</v>
      </c>
    </row>
    <row r="460" spans="2:11" x14ac:dyDescent="0.45">
      <c r="B460" s="39" t="s">
        <v>499</v>
      </c>
      <c r="C460" s="35" t="str">
        <f>[460]Hoja1!$A$1</f>
        <v>751-17820A</v>
      </c>
      <c r="D460" s="36" t="str">
        <f>[460]Hoja1!$C$1</f>
        <v>correa de ventilador LPW</v>
      </c>
      <c r="E460" s="36">
        <f>[460]Hoja1!$I$1</f>
        <v>0</v>
      </c>
      <c r="F460" s="36">
        <f>[460]Hoja1!$I$2</f>
        <v>1</v>
      </c>
      <c r="G460" s="36">
        <f>[460]Hoja1!$E$22</f>
        <v>2</v>
      </c>
      <c r="H460" s="36">
        <f>[460]Hoja1!$H$22</f>
        <v>2</v>
      </c>
      <c r="I460" s="36">
        <f t="shared" si="7"/>
        <v>4</v>
      </c>
      <c r="J460" s="37">
        <f>MAX([460]Hoja1!$A$5:$A$22)</f>
        <v>44135</v>
      </c>
      <c r="K460" s="38" t="str">
        <f>IF(ISTEXT([460]Hoja1!$A$23),[460]Hoja1!$A$23,"")</f>
        <v>4PK 878</v>
      </c>
    </row>
    <row r="461" spans="2:11" x14ac:dyDescent="0.45">
      <c r="B461" s="39" t="s">
        <v>500</v>
      </c>
      <c r="C461" s="35" t="str">
        <f>[461]Hoja1!$A$1</f>
        <v>751-17820I</v>
      </c>
      <c r="D461" s="36" t="str">
        <f>[461]Hoja1!$C$1</f>
        <v>correa de ventilador LPW</v>
      </c>
      <c r="E461" s="36">
        <f>[461]Hoja1!$I$1</f>
        <v>0</v>
      </c>
      <c r="F461" s="36">
        <f>[461]Hoja1!$I$2</f>
        <v>1</v>
      </c>
      <c r="G461" s="36">
        <f>[461]Hoja1!$E$22</f>
        <v>0</v>
      </c>
      <c r="H461" s="36">
        <f>[461]Hoja1!$H$22</f>
        <v>2</v>
      </c>
      <c r="I461" s="36">
        <f t="shared" si="7"/>
        <v>2</v>
      </c>
      <c r="J461" s="37">
        <f>MAX([461]Hoja1!$A$5:$A$22)</f>
        <v>44043</v>
      </c>
      <c r="K461" s="38" t="str">
        <f>IF(ISTEXT([461]Hoja1!$A$23),[461]Hoja1!$A$23,"")</f>
        <v>4PK</v>
      </c>
    </row>
    <row r="462" spans="2:11" x14ac:dyDescent="0.45">
      <c r="B462" s="39" t="s">
        <v>501</v>
      </c>
      <c r="C462" s="35" t="str">
        <f>[462]Hoja1!$A$1</f>
        <v>751-17830A</v>
      </c>
      <c r="D462" s="36" t="str">
        <f>[462]Hoja1!$C$1</f>
        <v>correa de ventilador LPW</v>
      </c>
      <c r="E462" s="36">
        <f>[462]Hoja1!$I$1</f>
        <v>0</v>
      </c>
      <c r="F462" s="36">
        <f>[462]Hoja1!$I$2</f>
        <v>1</v>
      </c>
      <c r="G462" s="36">
        <f>[462]Hoja1!$E$22</f>
        <v>0</v>
      </c>
      <c r="H462" s="36">
        <f>[462]Hoja1!$H$22</f>
        <v>4</v>
      </c>
      <c r="I462" s="36">
        <f t="shared" si="7"/>
        <v>4</v>
      </c>
      <c r="J462" s="37">
        <f>MAX([462]Hoja1!$A$5:$A$22)</f>
        <v>44043</v>
      </c>
      <c r="K462" s="38" t="str">
        <f>IF(ISTEXT([462]Hoja1!$A$23),[462]Hoja1!$A$23,"")</f>
        <v>4PK</v>
      </c>
    </row>
    <row r="463" spans="2:11" x14ac:dyDescent="0.45">
      <c r="B463" s="45" t="s">
        <v>502</v>
      </c>
      <c r="C463" s="35" t="str">
        <f>[463]Hoja1!$A$1</f>
        <v>751-18100A</v>
      </c>
      <c r="D463" s="36" t="str">
        <f>[463]Hoja1!$C$1</f>
        <v>filtro de combustible  ST/TS/TR</v>
      </c>
      <c r="E463" s="36">
        <f>[463]Hoja1!$I$1</f>
        <v>0</v>
      </c>
      <c r="F463" s="36">
        <f>[463]Hoja1!$I$2</f>
        <v>1</v>
      </c>
      <c r="G463" s="36">
        <f>[463]Hoja1!$E$22</f>
        <v>4</v>
      </c>
      <c r="H463" s="36">
        <f>[463]Hoja1!$H$22</f>
        <v>20</v>
      </c>
      <c r="I463" s="36">
        <f t="shared" si="7"/>
        <v>24</v>
      </c>
      <c r="J463" s="37">
        <f>MAX([463]Hoja1!$A$5:$A$22)</f>
        <v>44043</v>
      </c>
      <c r="K463" s="38" t="str">
        <f>IF(ISTEXT([463]Hoja1!$A$23),[463]Hoja1!$A$23,"")</f>
        <v/>
      </c>
    </row>
    <row r="464" spans="2:11" x14ac:dyDescent="0.45">
      <c r="B464" s="45" t="s">
        <v>503</v>
      </c>
      <c r="C464" s="35" t="str">
        <f>[464]Hoja1!$A$1</f>
        <v>751-18100I</v>
      </c>
      <c r="D464" s="36" t="str">
        <f>[464]Hoja1!$C$1</f>
        <v>filtro de combustible  ST/TS/TR</v>
      </c>
      <c r="E464" s="36">
        <f>[464]Hoja1!$I$1</f>
        <v>0</v>
      </c>
      <c r="F464" s="36">
        <f>[464]Hoja1!$I$2</f>
        <v>1</v>
      </c>
      <c r="G464" s="36">
        <f>[464]Hoja1!$E$22</f>
        <v>0</v>
      </c>
      <c r="H464" s="36">
        <f>[464]Hoja1!$H$22</f>
        <v>12</v>
      </c>
      <c r="I464" s="36">
        <f t="shared" si="7"/>
        <v>12</v>
      </c>
      <c r="J464" s="37">
        <f>MAX([464]Hoja1!$A$5:$A$22)</f>
        <v>44043</v>
      </c>
      <c r="K464" s="38" t="str">
        <f>IF(ISTEXT([464]Hoja1!$A$23),[464]Hoja1!$A$23,"")</f>
        <v/>
      </c>
    </row>
    <row r="465" spans="2:11" x14ac:dyDescent="0.45">
      <c r="B465" s="39" t="s">
        <v>504</v>
      </c>
      <c r="C465" s="35" t="str">
        <f>[465]Hoja1!$A$1</f>
        <v>751-18100A</v>
      </c>
      <c r="D465" s="36" t="str">
        <f>[465]Hoja1!$C$1</f>
        <v>filtro de combustible  LPW-TR</v>
      </c>
      <c r="E465" s="36">
        <f>[465]Hoja1!$I$1</f>
        <v>0</v>
      </c>
      <c r="F465" s="36">
        <f>[465]Hoja1!$I$2</f>
        <v>1</v>
      </c>
      <c r="G465" s="36">
        <f>[465]Hoja1!$E$22</f>
        <v>-19</v>
      </c>
      <c r="H465" s="36">
        <f>[465]Hoja1!$H$22</f>
        <v>93</v>
      </c>
      <c r="I465" s="36">
        <f t="shared" si="7"/>
        <v>74</v>
      </c>
      <c r="J465" s="37">
        <f>MAX([465]Hoja1!$A$5:$A$22)</f>
        <v>44115</v>
      </c>
      <c r="K465" s="38" t="str">
        <f>IF(ISTEXT([465]Hoja1!$A$23),[465]Hoja1!$A$23,"")</f>
        <v/>
      </c>
    </row>
    <row r="466" spans="2:11" x14ac:dyDescent="0.45">
      <c r="B466" s="39" t="s">
        <v>505</v>
      </c>
      <c r="C466" s="35" t="str">
        <f>[466]Hoja1!$A$1</f>
        <v>751-18100I</v>
      </c>
      <c r="D466" s="36" t="str">
        <f>[466]Hoja1!$C$1</f>
        <v>filtro de combustible  LPW-TR</v>
      </c>
      <c r="E466" s="36">
        <f>[466]Hoja1!$I$1</f>
        <v>0</v>
      </c>
      <c r="F466" s="36">
        <f>[466]Hoja1!$I$2</f>
        <v>1</v>
      </c>
      <c r="G466" s="36">
        <f>[466]Hoja1!$E$22</f>
        <v>12</v>
      </c>
      <c r="H466" s="36">
        <f>[466]Hoja1!$H$22</f>
        <v>1</v>
      </c>
      <c r="I466" s="36">
        <f t="shared" si="7"/>
        <v>13</v>
      </c>
      <c r="J466" s="37">
        <f>MAX([466]Hoja1!$A$5:$A$22)</f>
        <v>44135</v>
      </c>
      <c r="K466" s="38" t="str">
        <f>IF(ISTEXT([466]Hoja1!$A$23),[466]Hoja1!$A$23,"")</f>
        <v>Hay stock extra de AB  (baldwin)</v>
      </c>
    </row>
    <row r="467" spans="2:11" x14ac:dyDescent="0.45">
      <c r="B467" s="39" t="s">
        <v>506</v>
      </c>
      <c r="C467" s="35" t="str">
        <f>[467]Hoja1!$A$1</f>
        <v>751-18140I</v>
      </c>
      <c r="D467" s="36" t="str">
        <f>[467]Hoja1!$C$1</f>
        <v>resorte de nivelacion   LPW</v>
      </c>
      <c r="E467" s="36">
        <f>[467]Hoja1!$I$1</f>
        <v>0</v>
      </c>
      <c r="F467" s="36">
        <f>[467]Hoja1!$I$2</f>
        <v>1</v>
      </c>
      <c r="G467" s="36">
        <f>[467]Hoja1!$E$22</f>
        <v>0</v>
      </c>
      <c r="H467" s="36">
        <f>[467]Hoja1!$H$22</f>
        <v>3</v>
      </c>
      <c r="I467" s="36">
        <f t="shared" si="7"/>
        <v>3</v>
      </c>
      <c r="J467" s="37">
        <f>MAX([467]Hoja1!$A$5:$A$22)</f>
        <v>44043</v>
      </c>
      <c r="K467" s="38" t="str">
        <f>IF(ISTEXT([467]Hoja1!$A$23),[467]Hoja1!$A$23,"")</f>
        <v>Hay stock extra de AB  (baldwin)</v>
      </c>
    </row>
    <row r="468" spans="2:11" x14ac:dyDescent="0.45">
      <c r="B468" s="39" t="s">
        <v>507</v>
      </c>
      <c r="C468" s="35" t="str">
        <f>[468]Hoja1!$A$1</f>
        <v>751-18290I</v>
      </c>
      <c r="D468" s="36" t="str">
        <f>[468]Hoja1!$C$1</f>
        <v>pasador LPW</v>
      </c>
      <c r="E468" s="36">
        <f>[468]Hoja1!$I$1</f>
        <v>0</v>
      </c>
      <c r="F468" s="36">
        <f>[468]Hoja1!$I$2</f>
        <v>1</v>
      </c>
      <c r="G468" s="36">
        <f>[468]Hoja1!$E$22</f>
        <v>0</v>
      </c>
      <c r="H468" s="36">
        <f>[468]Hoja1!$H$22</f>
        <v>12</v>
      </c>
      <c r="I468" s="36">
        <f t="shared" si="7"/>
        <v>12</v>
      </c>
      <c r="J468" s="37">
        <f>MAX([468]Hoja1!$A$5:$A$22)</f>
        <v>44043</v>
      </c>
      <c r="K468" s="38" t="str">
        <f>IF(ISTEXT([468]Hoja1!$A$23),[468]Hoja1!$A$23,"")</f>
        <v>Hay stock extra de AB  (baldwin)</v>
      </c>
    </row>
    <row r="469" spans="2:11" x14ac:dyDescent="0.45">
      <c r="B469" s="39" t="s">
        <v>508</v>
      </c>
      <c r="C469" s="35" t="str">
        <f>[469]Hoja1!$A$1</f>
        <v>751-19700I</v>
      </c>
      <c r="D469" s="36" t="str">
        <f>[469]Hoja1!$C$1</f>
        <v>inyector con tobera LPW</v>
      </c>
      <c r="E469" s="36">
        <f>[469]Hoja1!$I$1</f>
        <v>0</v>
      </c>
      <c r="F469" s="36">
        <f>[469]Hoja1!$I$2</f>
        <v>1</v>
      </c>
      <c r="G469" s="36">
        <f>[469]Hoja1!$E$22</f>
        <v>4</v>
      </c>
      <c r="H469" s="36">
        <f>[469]Hoja1!$H$22</f>
        <v>15</v>
      </c>
      <c r="I469" s="36">
        <f t="shared" si="7"/>
        <v>19</v>
      </c>
      <c r="J469" s="37">
        <f>MAX([469]Hoja1!$A$5:$A$22)</f>
        <v>44116</v>
      </c>
      <c r="K469" s="38" t="str">
        <f>IF(ISTEXT([469]Hoja1!$A$23),[469]Hoja1!$A$23,"")</f>
        <v/>
      </c>
    </row>
    <row r="470" spans="2:11" x14ac:dyDescent="0.45">
      <c r="B470" s="39" t="s">
        <v>509</v>
      </c>
      <c r="C470" s="35" t="str">
        <f>[470]Hoja1!$A$1</f>
        <v>751-40112I</v>
      </c>
      <c r="D470" s="36" t="str">
        <f>[470]Hoja1!$C$1</f>
        <v>tapa del termostato LPW</v>
      </c>
      <c r="E470" s="36">
        <f>[470]Hoja1!$I$1</f>
        <v>0</v>
      </c>
      <c r="F470" s="36">
        <f>[470]Hoja1!$I$2</f>
        <v>1</v>
      </c>
      <c r="G470" s="36">
        <f>[470]Hoja1!$E$22</f>
        <v>0</v>
      </c>
      <c r="H470" s="36">
        <f>[470]Hoja1!$H$22</f>
        <v>1</v>
      </c>
      <c r="I470" s="36">
        <f t="shared" si="7"/>
        <v>1</v>
      </c>
      <c r="J470" s="37">
        <f>MAX([470]Hoja1!$A$5:$A$22)</f>
        <v>44043</v>
      </c>
      <c r="K470" s="38" t="str">
        <f>IF(ISTEXT([470]Hoja1!$A$23),[470]Hoja1!$A$23,"")</f>
        <v/>
      </c>
    </row>
    <row r="471" spans="2:11" x14ac:dyDescent="0.45">
      <c r="B471" s="39" t="s">
        <v>510</v>
      </c>
      <c r="C471" s="35" t="str">
        <f>[471]Hoja1!$A$1</f>
        <v>751-40173I</v>
      </c>
      <c r="D471" s="36" t="str">
        <f>[471]Hoja1!$C$1</f>
        <v>bulon cabeza de cilindro LPW</v>
      </c>
      <c r="E471" s="36">
        <f>[471]Hoja1!$I$1</f>
        <v>0</v>
      </c>
      <c r="F471" s="36">
        <f>[471]Hoja1!$I$2</f>
        <v>1</v>
      </c>
      <c r="G471" s="36">
        <f>[471]Hoja1!$E$22</f>
        <v>0</v>
      </c>
      <c r="H471" s="36">
        <f>[471]Hoja1!$H$22</f>
        <v>7</v>
      </c>
      <c r="I471" s="36">
        <f t="shared" si="7"/>
        <v>7</v>
      </c>
      <c r="J471" s="37">
        <f>MAX([471]Hoja1!$A$5:$A$22)</f>
        <v>44043</v>
      </c>
      <c r="K471" s="38" t="str">
        <f>IF(ISTEXT([471]Hoja1!$A$23),[471]Hoja1!$A$23,"")</f>
        <v/>
      </c>
    </row>
    <row r="472" spans="2:11" x14ac:dyDescent="0.45">
      <c r="B472" s="39" t="s">
        <v>511</v>
      </c>
      <c r="C472" s="35" t="str">
        <f>[472]Hoja1!$A$1</f>
        <v>751-40184I</v>
      </c>
      <c r="D472" s="36" t="str">
        <f>[472]Hoja1!$C$1</f>
        <v>bulon cab de cil  - posicion balancin LPW</v>
      </c>
      <c r="E472" s="36">
        <f>[472]Hoja1!$I$1</f>
        <v>0</v>
      </c>
      <c r="F472" s="36">
        <f>[472]Hoja1!$I$2</f>
        <v>1</v>
      </c>
      <c r="G472" s="36">
        <f>[472]Hoja1!$E$22</f>
        <v>0</v>
      </c>
      <c r="H472" s="36">
        <f>[472]Hoja1!$H$22</f>
        <v>8</v>
      </c>
      <c r="I472" s="36">
        <f t="shared" si="7"/>
        <v>8</v>
      </c>
      <c r="J472" s="37">
        <f>MAX([472]Hoja1!$A$5:$A$22)</f>
        <v>44043</v>
      </c>
      <c r="K472" s="38" t="str">
        <f>IF(ISTEXT([472]Hoja1!$A$23),[472]Hoja1!$A$23,"")</f>
        <v/>
      </c>
    </row>
    <row r="473" spans="2:11" x14ac:dyDescent="0.45">
      <c r="B473" s="39" t="s">
        <v>512</v>
      </c>
      <c r="C473" s="35" t="str">
        <f>[473]Hoja1!$A$1</f>
        <v>751-40192I</v>
      </c>
      <c r="D473" s="36" t="str">
        <f>[473]Hoja1!$C$1</f>
        <v>tubo de varilla alzavalvula  LPW</v>
      </c>
      <c r="E473" s="36">
        <f>[473]Hoja1!$I$1</f>
        <v>0</v>
      </c>
      <c r="F473" s="36">
        <f>[473]Hoja1!$I$2</f>
        <v>1</v>
      </c>
      <c r="G473" s="36">
        <f>[473]Hoja1!$E$22</f>
        <v>0</v>
      </c>
      <c r="H473" s="36">
        <f>[473]Hoja1!$H$22</f>
        <v>8</v>
      </c>
      <c r="I473" s="36">
        <f t="shared" si="7"/>
        <v>8</v>
      </c>
      <c r="J473" s="37">
        <f>MAX([473]Hoja1!$A$5:$A$22)</f>
        <v>44043</v>
      </c>
      <c r="K473" s="38" t="str">
        <f>IF(ISTEXT([473]Hoja1!$A$23),[473]Hoja1!$A$23,"")</f>
        <v/>
      </c>
    </row>
    <row r="474" spans="2:11" x14ac:dyDescent="0.45">
      <c r="B474" s="39" t="s">
        <v>513</v>
      </c>
      <c r="C474" s="35" t="str">
        <f>[474]Hoja1!$A$1</f>
        <v>751-40203R</v>
      </c>
      <c r="D474" s="36" t="str">
        <f>[474]Hoja1!$C$1</f>
        <v>placa trasera de bba de agua  LPW</v>
      </c>
      <c r="E474" s="36">
        <f>[474]Hoja1!$I$1</f>
        <v>0</v>
      </c>
      <c r="F474" s="36">
        <f>[474]Hoja1!$I$2</f>
        <v>1</v>
      </c>
      <c r="G474" s="36">
        <f>[474]Hoja1!$E$22</f>
        <v>0</v>
      </c>
      <c r="H474" s="36">
        <f>[474]Hoja1!$H$22</f>
        <v>3</v>
      </c>
      <c r="I474" s="36">
        <f t="shared" si="7"/>
        <v>3</v>
      </c>
      <c r="J474" s="37">
        <f>MAX([474]Hoja1!$A$5:$A$22)</f>
        <v>44043</v>
      </c>
      <c r="K474" s="38" t="str">
        <f>IF(ISTEXT([474]Hoja1!$A$23),[474]Hoja1!$A$23,"")</f>
        <v>RECUPERADAS de bbas vendidas sin placa- sin valor contable - fueron otras 3 desde julio 20 a taller</v>
      </c>
    </row>
    <row r="475" spans="2:11" x14ac:dyDescent="0.45">
      <c r="B475" s="39" t="s">
        <v>514</v>
      </c>
      <c r="C475" s="35" t="str">
        <f>[475]Hoja1!$A$1</f>
        <v>751-40211A</v>
      </c>
      <c r="D475" s="36" t="str">
        <f>[475]Hoja1!$C$1</f>
        <v>junta  de bba de agua  LPW</v>
      </c>
      <c r="E475" s="36">
        <f>[475]Hoja1!$I$1</f>
        <v>0</v>
      </c>
      <c r="F475" s="36">
        <f>[475]Hoja1!$I$2</f>
        <v>1</v>
      </c>
      <c r="G475" s="36">
        <f>[475]Hoja1!$E$22</f>
        <v>10</v>
      </c>
      <c r="H475" s="36">
        <f>[475]Hoja1!$H$22</f>
        <v>44</v>
      </c>
      <c r="I475" s="36">
        <f t="shared" si="7"/>
        <v>54</v>
      </c>
      <c r="J475" s="37">
        <f>MAX([475]Hoja1!$A$5:$A$22)</f>
        <v>44135</v>
      </c>
      <c r="K475" s="38" t="str">
        <f>IF(ISTEXT([475]Hoja1!$A$23),[475]Hoja1!$A$23,"")</f>
        <v/>
      </c>
    </row>
    <row r="476" spans="2:11" x14ac:dyDescent="0.45">
      <c r="B476" s="39" t="s">
        <v>515</v>
      </c>
      <c r="C476" s="35" t="str">
        <f>[476]Hoja1!$A$1</f>
        <v>751-40281A</v>
      </c>
      <c r="D476" s="36" t="str">
        <f>[476]Hoja1!$C$1</f>
        <v>junta  de caja de termostato   LPW</v>
      </c>
      <c r="E476" s="36">
        <f>[476]Hoja1!$I$1</f>
        <v>0</v>
      </c>
      <c r="F476" s="36">
        <f>[476]Hoja1!$I$2</f>
        <v>1</v>
      </c>
      <c r="G476" s="36">
        <f>[476]Hoja1!$E$22</f>
        <v>10</v>
      </c>
      <c r="H476" s="36">
        <f>[476]Hoja1!$H$22</f>
        <v>57</v>
      </c>
      <c r="I476" s="36">
        <f t="shared" si="7"/>
        <v>67</v>
      </c>
      <c r="J476" s="37">
        <f>MAX([476]Hoja1!$A$5:$A$22)</f>
        <v>44135</v>
      </c>
      <c r="K476" s="38" t="str">
        <f>IF(ISTEXT([476]Hoja1!$A$23),[476]Hoja1!$A$23,"")</f>
        <v/>
      </c>
    </row>
    <row r="477" spans="2:11" x14ac:dyDescent="0.45">
      <c r="B477" s="39" t="s">
        <v>516</v>
      </c>
      <c r="C477" s="35" t="str">
        <f>[477]Hoja1!$A$1</f>
        <v>751-40450A</v>
      </c>
      <c r="D477" s="36" t="str">
        <f>[477]Hoja1!$C$1</f>
        <v>junta  de placa de bba   LPW</v>
      </c>
      <c r="E477" s="36">
        <f>[477]Hoja1!$I$1</f>
        <v>0</v>
      </c>
      <c r="F477" s="36">
        <f>[477]Hoja1!$I$2</f>
        <v>1</v>
      </c>
      <c r="G477" s="36">
        <f>[477]Hoja1!$E$22</f>
        <v>0</v>
      </c>
      <c r="H477" s="36">
        <f>[477]Hoja1!$H$22</f>
        <v>20</v>
      </c>
      <c r="I477" s="36">
        <f t="shared" si="7"/>
        <v>20</v>
      </c>
      <c r="J477" s="37">
        <f>MAX([477]Hoja1!$A$5:$A$22)</f>
        <v>44043</v>
      </c>
      <c r="K477" s="38" t="str">
        <f>IF(ISTEXT([477]Hoja1!$A$23),[477]Hoja1!$A$23,"")</f>
        <v>mas 3 originales</v>
      </c>
    </row>
    <row r="478" spans="2:11" x14ac:dyDescent="0.45">
      <c r="B478" s="39" t="s">
        <v>517</v>
      </c>
      <c r="C478" s="35" t="str">
        <f>[478]Hoja1!$A$1</f>
        <v>751-40521I</v>
      </c>
      <c r="D478" s="36" t="str">
        <f>[478]Hoja1!$C$1</f>
        <v>tuerca de ventilador   LPW</v>
      </c>
      <c r="E478" s="36">
        <f>[478]Hoja1!$I$1</f>
        <v>0</v>
      </c>
      <c r="F478" s="36">
        <f>[478]Hoja1!$I$2</f>
        <v>1</v>
      </c>
      <c r="G478" s="36">
        <f>[478]Hoja1!$E$22</f>
        <v>0</v>
      </c>
      <c r="H478" s="36">
        <f>[478]Hoja1!$H$22</f>
        <v>2</v>
      </c>
      <c r="I478" s="36">
        <f t="shared" si="7"/>
        <v>2</v>
      </c>
      <c r="J478" s="37">
        <f>MAX([478]Hoja1!$A$5:$A$22)</f>
        <v>44043</v>
      </c>
      <c r="K478" s="38" t="str">
        <f>IF(ISTEXT([478]Hoja1!$A$23),[478]Hoja1!$A$23,"")</f>
        <v>recupueradas de ventiladores originales - sin valor contabl.</v>
      </c>
    </row>
    <row r="479" spans="2:11" x14ac:dyDescent="0.45">
      <c r="B479" s="39" t="s">
        <v>518</v>
      </c>
      <c r="C479" s="35" t="str">
        <f>[479]Hoja1!$A$1</f>
        <v>751-40530I</v>
      </c>
      <c r="D479" s="36" t="str">
        <f>[479]Hoja1!$C$1</f>
        <v>valvula de escape  LPW</v>
      </c>
      <c r="E479" s="36">
        <f>[479]Hoja1!$I$1</f>
        <v>0</v>
      </c>
      <c r="F479" s="36">
        <f>[479]Hoja1!$I$2</f>
        <v>1</v>
      </c>
      <c r="G479" s="36">
        <f>[479]Hoja1!$E$22</f>
        <v>13</v>
      </c>
      <c r="H479" s="36">
        <f>[479]Hoja1!$H$22</f>
        <v>3</v>
      </c>
      <c r="I479" s="36">
        <f t="shared" si="7"/>
        <v>16</v>
      </c>
      <c r="J479" s="37">
        <f>MAX([479]Hoja1!$A$5:$A$22)</f>
        <v>44116</v>
      </c>
      <c r="K479" s="38" t="str">
        <f>IF(ISTEXT([479]Hoja1!$A$23),[479]Hoja1!$A$23,"")</f>
        <v>mas  4 de muestras "B" KKT</v>
      </c>
    </row>
    <row r="480" spans="2:11" x14ac:dyDescent="0.45">
      <c r="B480" s="39" t="s">
        <v>519</v>
      </c>
      <c r="C480" s="35" t="str">
        <f>[480]Hoja1!$A$1</f>
        <v>751-40550I</v>
      </c>
      <c r="D480" s="36" t="str">
        <f>[480]Hoja1!$C$1</f>
        <v>valvula de adminsion  LPW</v>
      </c>
      <c r="E480" s="36">
        <f>[480]Hoja1!$I$1</f>
        <v>0</v>
      </c>
      <c r="F480" s="36">
        <f>[480]Hoja1!$I$2</f>
        <v>1</v>
      </c>
      <c r="G480" s="36">
        <f>[480]Hoja1!$E$22</f>
        <v>13</v>
      </c>
      <c r="H480" s="36">
        <f>[480]Hoja1!$H$22</f>
        <v>3</v>
      </c>
      <c r="I480" s="36">
        <f t="shared" si="7"/>
        <v>16</v>
      </c>
      <c r="J480" s="37">
        <f>MAX([480]Hoja1!$A$5:$A$22)</f>
        <v>44116</v>
      </c>
      <c r="K480" s="38" t="str">
        <f>IF(ISTEXT([480]Hoja1!$A$23),[480]Hoja1!$A$23,"")</f>
        <v>mas  1 de muestras "B" KKT</v>
      </c>
    </row>
    <row r="481" spans="2:11" x14ac:dyDescent="0.45">
      <c r="B481" s="39" t="s">
        <v>520</v>
      </c>
      <c r="C481" s="35" t="str">
        <f>[481]Hoja1!$A$1</f>
        <v>751-40551I</v>
      </c>
      <c r="D481" s="36" t="str">
        <f>[481]Hoja1!$C$1</f>
        <v>valvula de admision - turbo - LPW</v>
      </c>
      <c r="E481" s="36">
        <f>[481]Hoja1!$I$1</f>
        <v>0</v>
      </c>
      <c r="F481" s="36">
        <f>[481]Hoja1!$I$2</f>
        <v>1</v>
      </c>
      <c r="G481" s="36">
        <f>[481]Hoja1!$E$22</f>
        <v>0</v>
      </c>
      <c r="H481" s="36">
        <f>[481]Hoja1!$H$22</f>
        <v>7</v>
      </c>
      <c r="I481" s="36">
        <f t="shared" si="7"/>
        <v>7</v>
      </c>
      <c r="J481" s="37">
        <f>MAX([481]Hoja1!$A$5:$A$22)</f>
        <v>44043</v>
      </c>
      <c r="K481" s="38" t="str">
        <f>IF(ISTEXT([481]Hoja1!$A$23),[481]Hoja1!$A$23,"")</f>
        <v/>
      </c>
    </row>
    <row r="482" spans="2:11" x14ac:dyDescent="0.45">
      <c r="B482" s="39" t="s">
        <v>521</v>
      </c>
      <c r="C482" s="35" t="str">
        <f>[482]Hoja1!$A$1</f>
        <v>751-40630I</v>
      </c>
      <c r="D482" s="36" t="str">
        <f>[482]Hoja1!$C$1</f>
        <v>junta asiento de inyector - LPWS</v>
      </c>
      <c r="E482" s="36">
        <f>[482]Hoja1!$I$1</f>
        <v>0</v>
      </c>
      <c r="F482" s="36">
        <f>[482]Hoja1!$I$2</f>
        <v>1</v>
      </c>
      <c r="G482" s="36">
        <f>[482]Hoja1!$E$22</f>
        <v>0</v>
      </c>
      <c r="H482" s="36">
        <f>[482]Hoja1!$H$22</f>
        <v>9</v>
      </c>
      <c r="I482" s="36">
        <f t="shared" si="7"/>
        <v>9</v>
      </c>
      <c r="J482" s="37">
        <f>MAX([482]Hoja1!$A$5:$A$22)</f>
        <v>44043</v>
      </c>
      <c r="K482" s="38" t="str">
        <f>IF(ISTEXT([482]Hoja1!$A$23),[482]Hoja1!$A$23,"")</f>
        <v>recuperadas de jgos de juntas - sin valor contable</v>
      </c>
    </row>
    <row r="483" spans="2:11" x14ac:dyDescent="0.45">
      <c r="B483" s="39" t="s">
        <v>522</v>
      </c>
      <c r="C483" s="35" t="str">
        <f>[483]Hoja1!$A$1</f>
        <v>751-40671I</v>
      </c>
      <c r="D483" s="36" t="str">
        <f>[483]Hoja1!$C$1</f>
        <v>bulon  cab.cil - posicion gancho de izaje LPW</v>
      </c>
      <c r="E483" s="36">
        <f>[483]Hoja1!$I$1</f>
        <v>0</v>
      </c>
      <c r="F483" s="36">
        <f>[483]Hoja1!$I$2</f>
        <v>1</v>
      </c>
      <c r="G483" s="36">
        <f>[483]Hoja1!$E$22</f>
        <v>0</v>
      </c>
      <c r="H483" s="36">
        <f>[483]Hoja1!$H$22</f>
        <v>8</v>
      </c>
      <c r="I483" s="36">
        <f t="shared" si="7"/>
        <v>8</v>
      </c>
      <c r="J483" s="37">
        <f>MAX([483]Hoja1!$A$5:$A$22)</f>
        <v>44043</v>
      </c>
      <c r="K483" s="38" t="str">
        <f>IF(ISTEXT([483]Hoja1!$A$23),[483]Hoja1!$A$23,"")</f>
        <v/>
      </c>
    </row>
    <row r="484" spans="2:11" x14ac:dyDescent="0.45">
      <c r="B484" s="39" t="s">
        <v>523</v>
      </c>
      <c r="C484" s="35" t="str">
        <f>[484]Hoja1!$A$1</f>
        <v>751-40860I</v>
      </c>
      <c r="D484" s="36" t="str">
        <f>[484]Hoja1!$C$1</f>
        <v>bulon  cab.cil - posicion gancho de izaje LPW</v>
      </c>
      <c r="E484" s="36">
        <f>[484]Hoja1!$I$1</f>
        <v>0</v>
      </c>
      <c r="F484" s="36">
        <f>[484]Hoja1!$I$2</f>
        <v>1</v>
      </c>
      <c r="G484" s="36">
        <f>[484]Hoja1!$E$22</f>
        <v>0</v>
      </c>
      <c r="H484" s="36">
        <f>[484]Hoja1!$H$22</f>
        <v>6</v>
      </c>
      <c r="I484" s="36">
        <f t="shared" si="7"/>
        <v>6</v>
      </c>
      <c r="J484" s="37">
        <f>MAX([484]Hoja1!$A$5:$A$22)</f>
        <v>44043</v>
      </c>
      <c r="K484" s="38" t="str">
        <f>IF(ISTEXT([484]Hoja1!$A$23),[484]Hoja1!$A$23,"")</f>
        <v/>
      </c>
    </row>
    <row r="485" spans="2:11" x14ac:dyDescent="0.45">
      <c r="B485" s="39" t="s">
        <v>524</v>
      </c>
      <c r="C485" s="35" t="str">
        <f>[485]Hoja1!$A$1</f>
        <v>751-40892A</v>
      </c>
      <c r="D485" s="36" t="str">
        <f>[485]Hoja1!$C$1</f>
        <v>termostato  LPW</v>
      </c>
      <c r="E485" s="36">
        <f>[485]Hoja1!$I$1</f>
        <v>0</v>
      </c>
      <c r="F485" s="36">
        <f>[485]Hoja1!$I$2</f>
        <v>1</v>
      </c>
      <c r="G485" s="36">
        <f>[485]Hoja1!$E$22</f>
        <v>0</v>
      </c>
      <c r="H485" s="36">
        <f>[485]Hoja1!$H$22</f>
        <v>0</v>
      </c>
      <c r="I485" s="36">
        <f t="shared" si="7"/>
        <v>0</v>
      </c>
      <c r="J485" s="37">
        <f>MAX([485]Hoja1!$A$5:$A$22)</f>
        <v>44043</v>
      </c>
      <c r="K485" s="38" t="str">
        <f>IF(ISTEXT([485]Hoja1!$A$23),[485]Hoja1!$A$23,"")</f>
        <v/>
      </c>
    </row>
    <row r="486" spans="2:11" x14ac:dyDescent="0.45">
      <c r="B486" s="39" t="s">
        <v>525</v>
      </c>
      <c r="C486" s="35" t="str">
        <f>[486]Hoja1!$A$1</f>
        <v>751-40892I</v>
      </c>
      <c r="D486" s="36" t="str">
        <f>[486]Hoja1!$C$1</f>
        <v>termostato  LPW</v>
      </c>
      <c r="E486" s="36">
        <f>[486]Hoja1!$I$1</f>
        <v>0</v>
      </c>
      <c r="F486" s="36">
        <f>[486]Hoja1!$I$2</f>
        <v>1</v>
      </c>
      <c r="G486" s="36">
        <f>[486]Hoja1!$E$22</f>
        <v>0</v>
      </c>
      <c r="H486" s="36">
        <f>[486]Hoja1!$H$22</f>
        <v>2</v>
      </c>
      <c r="I486" s="36">
        <f t="shared" si="7"/>
        <v>2</v>
      </c>
      <c r="J486" s="37">
        <f>MAX([486]Hoja1!$A$5:$A$22)</f>
        <v>44043</v>
      </c>
      <c r="K486" s="38" t="str">
        <f>IF(ISTEXT([486]Hoja1!$A$23),[486]Hoja1!$A$23,"")</f>
        <v/>
      </c>
    </row>
    <row r="487" spans="2:11" x14ac:dyDescent="0.45">
      <c r="B487" s="39" t="s">
        <v>526</v>
      </c>
      <c r="C487" s="35" t="str">
        <f>[487]Hoja1!$A$1</f>
        <v>751-41190A</v>
      </c>
      <c r="D487" s="36" t="str">
        <f>[487]Hoja1!$C$1</f>
        <v>ventilador 6 paletas  381mm - tuerca- LPW</v>
      </c>
      <c r="E487" s="36">
        <f>[487]Hoja1!$I$1</f>
        <v>0</v>
      </c>
      <c r="F487" s="36">
        <f>[487]Hoja1!$I$2</f>
        <v>1</v>
      </c>
      <c r="G487" s="36">
        <f>[487]Hoja1!$E$22</f>
        <v>0</v>
      </c>
      <c r="H487" s="36">
        <f>[487]Hoja1!$H$22</f>
        <v>3</v>
      </c>
      <c r="I487" s="36">
        <f t="shared" si="7"/>
        <v>3</v>
      </c>
      <c r="J487" s="37">
        <f>MAX([487]Hoja1!$A$5:$A$22)</f>
        <v>44043</v>
      </c>
      <c r="K487" s="38" t="str">
        <f>IF(ISTEXT([487]Hoja1!$A$23),[487]Hoja1!$A$23,"")</f>
        <v/>
      </c>
    </row>
    <row r="488" spans="2:11" x14ac:dyDescent="0.45">
      <c r="B488" s="45" t="s">
        <v>527</v>
      </c>
      <c r="C488" s="35" t="str">
        <f>[488]Hoja1!$A$1</f>
        <v>751-41322/323I</v>
      </c>
      <c r="D488" s="36" t="str">
        <f>[488]Hoja1!$C$1</f>
        <v>bomba inyectora  LPW</v>
      </c>
      <c r="E488" s="36">
        <f>[488]Hoja1!$I$1</f>
        <v>0</v>
      </c>
      <c r="F488" s="36">
        <f>[488]Hoja1!$I$2</f>
        <v>1</v>
      </c>
      <c r="G488" s="36">
        <f>[488]Hoja1!$E$22</f>
        <v>0</v>
      </c>
      <c r="H488" s="36">
        <f>[488]Hoja1!$H$22</f>
        <v>8</v>
      </c>
      <c r="I488" s="36">
        <f t="shared" si="7"/>
        <v>8</v>
      </c>
      <c r="J488" s="37">
        <f>MAX([488]Hoja1!$A$5:$A$22)</f>
        <v>44043</v>
      </c>
      <c r="K488" s="38" t="str">
        <f>IF(ISTEXT([488]Hoja1!$A$23),[488]Hoja1!$A$23,"")</f>
        <v/>
      </c>
    </row>
    <row r="489" spans="2:11" x14ac:dyDescent="0.45">
      <c r="B489" s="39" t="s">
        <v>528</v>
      </c>
      <c r="C489" s="35" t="str">
        <f>[489]Hoja1!$A$1</f>
        <v>751-41701I</v>
      </c>
      <c r="D489" s="36" t="str">
        <f>[489]Hoja1!$C$1</f>
        <v>reten de valvula  LPW</v>
      </c>
      <c r="E489" s="36">
        <f>[489]Hoja1!$I$1</f>
        <v>0</v>
      </c>
      <c r="F489" s="36">
        <f>[489]Hoja1!$I$2</f>
        <v>1</v>
      </c>
      <c r="G489" s="36">
        <f>[489]Hoja1!$E$22</f>
        <v>0</v>
      </c>
      <c r="H489" s="36">
        <f>[489]Hoja1!$H$22</f>
        <v>15</v>
      </c>
      <c r="I489" s="36">
        <f t="shared" si="7"/>
        <v>15</v>
      </c>
      <c r="J489" s="37">
        <f>MAX([489]Hoja1!$A$5:$A$22)</f>
        <v>44043</v>
      </c>
      <c r="K489" s="38" t="str">
        <f>IF(ISTEXT([489]Hoja1!$A$23),[489]Hoja1!$A$23,"")</f>
        <v>goma y resorte.  Reemplaza  751-13570 tipo capuchon, (que tambien puede usarse)</v>
      </c>
    </row>
    <row r="490" spans="2:11" x14ac:dyDescent="0.45">
      <c r="B490" s="45" t="s">
        <v>529</v>
      </c>
      <c r="C490" s="35" t="str">
        <f>[490]Hoja1!$A$1</f>
        <v>751-42670A020</v>
      </c>
      <c r="D490" s="36" t="str">
        <f>[490]Hoja1!$C$1</f>
        <v>piston desnudo LPW</v>
      </c>
      <c r="E490" s="36">
        <f>[490]Hoja1!$I$1</f>
        <v>0</v>
      </c>
      <c r="F490" s="36">
        <f>[490]Hoja1!$I$2</f>
        <v>1</v>
      </c>
      <c r="G490" s="36">
        <f>[490]Hoja1!$E$22</f>
        <v>0</v>
      </c>
      <c r="H490" s="36">
        <f>[490]Hoja1!$H$22</f>
        <v>0</v>
      </c>
      <c r="I490" s="36">
        <f t="shared" si="7"/>
        <v>0</v>
      </c>
      <c r="J490" s="37">
        <f>MAX([490]Hoja1!$A$5:$A$22)</f>
        <v>44043</v>
      </c>
      <c r="K490" s="38" t="str">
        <f>IF(ISTEXT([490]Hoja1!$A$23),[490]Hoja1!$A$23,"")</f>
        <v/>
      </c>
    </row>
    <row r="491" spans="2:11" x14ac:dyDescent="0.45">
      <c r="B491" s="39" t="s">
        <v>530</v>
      </c>
      <c r="C491" s="35" t="str">
        <f>[491]Hoja1!$A$1</f>
        <v>751-42670A020</v>
      </c>
      <c r="D491" s="36" t="str">
        <f>[491]Hoja1!$C$1</f>
        <v>piston desnudo LPW</v>
      </c>
      <c r="E491" s="36">
        <f>[491]Hoja1!$I$1</f>
        <v>0</v>
      </c>
      <c r="F491" s="36">
        <f>[491]Hoja1!$I$2</f>
        <v>1</v>
      </c>
      <c r="G491" s="36">
        <f>[491]Hoja1!$E$22</f>
        <v>0</v>
      </c>
      <c r="H491" s="36">
        <f>[491]Hoja1!$H$22</f>
        <v>0</v>
      </c>
      <c r="I491" s="36">
        <f t="shared" si="7"/>
        <v>0</v>
      </c>
      <c r="J491" s="37">
        <f>MAX([491]Hoja1!$A$5:$A$22)</f>
        <v>44043</v>
      </c>
      <c r="K491" s="38" t="str">
        <f>IF(ISTEXT([491]Hoja1!$A$23),[491]Hoja1!$A$23,"")</f>
        <v/>
      </c>
    </row>
    <row r="492" spans="2:11" x14ac:dyDescent="0.45">
      <c r="B492" s="39" t="s">
        <v>531</v>
      </c>
      <c r="C492" s="35" t="str">
        <f>[492]Hoja1!$A$1</f>
        <v>751-45740A</v>
      </c>
      <c r="D492" s="36" t="str">
        <f>[492]Hoja1!$C$1</f>
        <v>ventilador 6 paletas - 3 tornillos - LPW</v>
      </c>
      <c r="E492" s="36">
        <f>[492]Hoja1!$I$1</f>
        <v>0</v>
      </c>
      <c r="F492" s="36">
        <f>[492]Hoja1!$I$2</f>
        <v>1</v>
      </c>
      <c r="G492" s="36">
        <f>[492]Hoja1!$E$22</f>
        <v>2</v>
      </c>
      <c r="H492" s="36">
        <f>[492]Hoja1!$H$22</f>
        <v>1</v>
      </c>
      <c r="I492" s="36">
        <f t="shared" si="7"/>
        <v>3</v>
      </c>
      <c r="J492" s="37">
        <f>MAX([492]Hoja1!$A$5:$A$22)</f>
        <v>44057</v>
      </c>
      <c r="K492" s="38" t="str">
        <f>IF(ISTEXT([492]Hoja1!$A$23),[492]Hoja1!$A$23,"")</f>
        <v/>
      </c>
    </row>
    <row r="493" spans="2:11" x14ac:dyDescent="0.45">
      <c r="B493" s="39" t="s">
        <v>532</v>
      </c>
      <c r="C493" s="35" t="str">
        <f>[493]Hoja1!$A$1</f>
        <v>752-10802I</v>
      </c>
      <c r="D493" s="36" t="str">
        <f>[493]Hoja1!$C$1</f>
        <v>junta de carter LPW2</v>
      </c>
      <c r="E493" s="36">
        <f>[493]Hoja1!$I$1</f>
        <v>0</v>
      </c>
      <c r="F493" s="36">
        <f>[493]Hoja1!$I$2</f>
        <v>1</v>
      </c>
      <c r="G493" s="36">
        <f>[493]Hoja1!$E$22</f>
        <v>1</v>
      </c>
      <c r="H493" s="36">
        <f>[493]Hoja1!$H$22</f>
        <v>0</v>
      </c>
      <c r="I493" s="36">
        <f t="shared" si="7"/>
        <v>1</v>
      </c>
      <c r="J493" s="37">
        <f>MAX([493]Hoja1!$A$5:$A$22)</f>
        <v>44043</v>
      </c>
      <c r="K493" s="38" t="str">
        <f>IF(ISTEXT([493]Hoja1!$A$23),[493]Hoja1!$A$23,"")</f>
        <v/>
      </c>
    </row>
    <row r="494" spans="2:11" x14ac:dyDescent="0.45">
      <c r="B494" s="39" t="s">
        <v>533</v>
      </c>
      <c r="C494" s="35" t="str">
        <f>[494]Hoja1!$A$1</f>
        <v>752-15120I</v>
      </c>
      <c r="D494" s="36" t="str">
        <f>[494]Hoja1!$C$1</f>
        <v>varilla medicion de aceite  LPW2</v>
      </c>
      <c r="E494" s="36">
        <f>[494]Hoja1!$I$1</f>
        <v>0</v>
      </c>
      <c r="F494" s="36">
        <f>[494]Hoja1!$I$2</f>
        <v>1</v>
      </c>
      <c r="G494" s="36">
        <f>[494]Hoja1!$E$22</f>
        <v>0</v>
      </c>
      <c r="H494" s="36">
        <f>[494]Hoja1!$H$22</f>
        <v>2</v>
      </c>
      <c r="I494" s="36">
        <f t="shared" si="7"/>
        <v>2</v>
      </c>
      <c r="J494" s="37">
        <f>MAX([494]Hoja1!$A$5:$A$22)</f>
        <v>44043</v>
      </c>
      <c r="K494" s="38" t="str">
        <f>IF(ISTEXT([494]Hoja1!$A$23),[494]Hoja1!$A$23,"")</f>
        <v/>
      </c>
    </row>
    <row r="495" spans="2:11" x14ac:dyDescent="0.45">
      <c r="B495" s="39" t="s">
        <v>534</v>
      </c>
      <c r="C495" s="35" t="str">
        <f>[495]Hoja1!$A$1</f>
        <v>752-40751I</v>
      </c>
      <c r="D495" s="36" t="str">
        <f>[495]Hoja1!$C$1</f>
        <v>junta cabeza de cilindro   LPW2</v>
      </c>
      <c r="E495" s="36">
        <f>[495]Hoja1!$I$1</f>
        <v>0</v>
      </c>
      <c r="F495" s="36">
        <f>[495]Hoja1!$I$2</f>
        <v>1</v>
      </c>
      <c r="G495" s="36">
        <f>[495]Hoja1!$E$22</f>
        <v>3</v>
      </c>
      <c r="H495" s="36">
        <f>[495]Hoja1!$H$22</f>
        <v>0</v>
      </c>
      <c r="I495" s="36">
        <f t="shared" si="7"/>
        <v>3</v>
      </c>
      <c r="J495" s="37">
        <f>MAX([495]Hoja1!$A$5:$A$22)</f>
        <v>44055</v>
      </c>
      <c r="K495" s="38" t="str">
        <f>IF(ISTEXT([495]Hoja1!$A$23),[495]Hoja1!$A$23,"")</f>
        <v/>
      </c>
    </row>
    <row r="496" spans="2:11" x14ac:dyDescent="0.45">
      <c r="B496" s="39" t="s">
        <v>535</v>
      </c>
      <c r="C496" s="35" t="str">
        <f>[496]Hoja1!$A$1</f>
        <v>753-10802A</v>
      </c>
      <c r="D496" s="36" t="str">
        <f>[496]Hoja1!$C$1</f>
        <v>junta puerta de carter LPW3</v>
      </c>
      <c r="E496" s="36">
        <f>[496]Hoja1!$I$1</f>
        <v>0</v>
      </c>
      <c r="F496" s="36">
        <f>[496]Hoja1!$I$2</f>
        <v>1</v>
      </c>
      <c r="G496" s="36">
        <f>[496]Hoja1!$E$22</f>
        <v>0</v>
      </c>
      <c r="H496" s="36">
        <f>[496]Hoja1!$H$22</f>
        <v>40</v>
      </c>
      <c r="I496" s="36">
        <f t="shared" si="7"/>
        <v>40</v>
      </c>
      <c r="J496" s="37">
        <f>MAX([496]Hoja1!$A$5:$A$22)</f>
        <v>44043</v>
      </c>
      <c r="K496" s="38" t="str">
        <f>IF(ISTEXT([496]Hoja1!$A$23),[496]Hoja1!$A$23,"")</f>
        <v/>
      </c>
    </row>
    <row r="497" spans="2:11" x14ac:dyDescent="0.45">
      <c r="B497" s="39" t="s">
        <v>536</v>
      </c>
      <c r="C497" s="35" t="str">
        <f>[497]Hoja1!$A$1</f>
        <v>753-10802I</v>
      </c>
      <c r="D497" s="36" t="str">
        <f>[497]Hoja1!$C$1</f>
        <v>junta de carter LPW3</v>
      </c>
      <c r="E497" s="36">
        <f>[497]Hoja1!$I$1</f>
        <v>0</v>
      </c>
      <c r="F497" s="36">
        <f>[497]Hoja1!$I$2</f>
        <v>1</v>
      </c>
      <c r="G497" s="36">
        <f>[497]Hoja1!$E$22</f>
        <v>0</v>
      </c>
      <c r="H497" s="36">
        <f>[497]Hoja1!$H$22</f>
        <v>3</v>
      </c>
      <c r="I497" s="36">
        <f t="shared" si="7"/>
        <v>3</v>
      </c>
      <c r="J497" s="37">
        <f>MAX([497]Hoja1!$A$5:$A$22)</f>
        <v>44043</v>
      </c>
      <c r="K497" s="38" t="str">
        <f>IF(ISTEXT([497]Hoja1!$A$23),[497]Hoja1!$A$23,"")</f>
        <v/>
      </c>
    </row>
    <row r="498" spans="2:11" x14ac:dyDescent="0.45">
      <c r="B498" s="39" t="s">
        <v>537</v>
      </c>
      <c r="C498" s="35" t="str">
        <f>[498]Hoja1!$A$1</f>
        <v>753-17740I</v>
      </c>
      <c r="D498" s="36" t="str">
        <f>[498]Hoja1!$C$1</f>
        <v>caño de combustible LPW3</v>
      </c>
      <c r="E498" s="36">
        <f>[498]Hoja1!$I$1</f>
        <v>0</v>
      </c>
      <c r="F498" s="36">
        <f>[498]Hoja1!$I$2</f>
        <v>1</v>
      </c>
      <c r="G498" s="36">
        <f>[498]Hoja1!$E$22</f>
        <v>0</v>
      </c>
      <c r="H498" s="36">
        <f>[498]Hoja1!$H$22</f>
        <v>1</v>
      </c>
      <c r="I498" s="36">
        <f t="shared" si="7"/>
        <v>1</v>
      </c>
      <c r="J498" s="37">
        <f>MAX([498]Hoja1!$A$5:$A$22)</f>
        <v>44043</v>
      </c>
      <c r="K498" s="38" t="str">
        <f>IF(ISTEXT([498]Hoja1!$A$23),[498]Hoja1!$A$23,"")</f>
        <v/>
      </c>
    </row>
    <row r="499" spans="2:11" x14ac:dyDescent="0.45">
      <c r="B499" s="39" t="s">
        <v>538</v>
      </c>
      <c r="C499" s="35" t="str">
        <f>[499]Hoja1!$A$1</f>
        <v>753-40891A</v>
      </c>
      <c r="D499" s="36" t="str">
        <f>[499]Hoja1!$C$1</f>
        <v>junta cabeza de cilindro LPW3</v>
      </c>
      <c r="E499" s="36">
        <f>[499]Hoja1!$I$1</f>
        <v>0</v>
      </c>
      <c r="F499" s="36">
        <f>[499]Hoja1!$I$2</f>
        <v>1</v>
      </c>
      <c r="G499" s="36">
        <f>[499]Hoja1!$E$22</f>
        <v>0</v>
      </c>
      <c r="H499" s="36">
        <f>[499]Hoja1!$H$22</f>
        <v>16</v>
      </c>
      <c r="I499" s="36">
        <f t="shared" si="7"/>
        <v>16</v>
      </c>
      <c r="J499" s="37">
        <f>MAX([499]Hoja1!$A$5:$A$22)</f>
        <v>44043</v>
      </c>
      <c r="K499" s="38" t="str">
        <f>IF(ISTEXT([499]Hoja1!$A$23),[499]Hoja1!$A$23,"")</f>
        <v/>
      </c>
    </row>
    <row r="500" spans="2:11" x14ac:dyDescent="0.45">
      <c r="B500" s="39" t="s">
        <v>539</v>
      </c>
      <c r="C500" s="35" t="str">
        <f>[500]Hoja1!$A$1</f>
        <v>753-40891I</v>
      </c>
      <c r="D500" s="36" t="str">
        <f>[500]Hoja1!$C$1</f>
        <v>junta cabeza de cilindro LPW3</v>
      </c>
      <c r="E500" s="36">
        <f>[500]Hoja1!$I$1</f>
        <v>0</v>
      </c>
      <c r="F500" s="36">
        <f>[500]Hoja1!$I$2</f>
        <v>1</v>
      </c>
      <c r="G500" s="36">
        <f>[500]Hoja1!$E$22</f>
        <v>3</v>
      </c>
      <c r="H500" s="36">
        <f>[500]Hoja1!$H$22</f>
        <v>3</v>
      </c>
      <c r="I500" s="36">
        <f t="shared" si="7"/>
        <v>6</v>
      </c>
      <c r="J500" s="37">
        <f>MAX([500]Hoja1!$A$5:$A$22)</f>
        <v>44056</v>
      </c>
      <c r="K500" s="38" t="str">
        <f>IF(ISTEXT([500]Hoja1!$A$23),[500]Hoja1!$A$23,"")</f>
        <v/>
      </c>
    </row>
    <row r="501" spans="2:11" x14ac:dyDescent="0.45">
      <c r="B501" s="39" t="s">
        <v>540</v>
      </c>
      <c r="C501" s="35" t="str">
        <f>[501]Hoja1!$A$1</f>
        <v>754-10615I</v>
      </c>
      <c r="D501" s="36" t="str">
        <f>[501]Hoja1!$C$1</f>
        <v>colador de aceite LPW4</v>
      </c>
      <c r="E501" s="36">
        <f>[501]Hoja1!$I$1</f>
        <v>0</v>
      </c>
      <c r="F501" s="36">
        <f>[501]Hoja1!$I$2</f>
        <v>1</v>
      </c>
      <c r="G501" s="36">
        <f>[501]Hoja1!$E$22</f>
        <v>0</v>
      </c>
      <c r="H501" s="36">
        <f>[501]Hoja1!$H$22</f>
        <v>1</v>
      </c>
      <c r="I501" s="36">
        <f t="shared" si="7"/>
        <v>1</v>
      </c>
      <c r="J501" s="37">
        <f>MAX([501]Hoja1!$A$5:$A$22)</f>
        <v>44043</v>
      </c>
      <c r="K501" s="38" t="str">
        <f>IF(ISTEXT([501]Hoja1!$A$23),[501]Hoja1!$A$23,"")</f>
        <v/>
      </c>
    </row>
    <row r="502" spans="2:11" x14ac:dyDescent="0.45">
      <c r="B502" s="45" t="s">
        <v>541</v>
      </c>
      <c r="C502" s="35" t="str">
        <f>[502]Hoja1!$A$1</f>
        <v>754-10802A</v>
      </c>
      <c r="D502" s="36" t="str">
        <f>[502]Hoja1!$C$1</f>
        <v>junta puerta de carter LPW4</v>
      </c>
      <c r="E502" s="36">
        <f>[502]Hoja1!$I$1</f>
        <v>0</v>
      </c>
      <c r="F502" s="36">
        <f>[502]Hoja1!$I$2</f>
        <v>1</v>
      </c>
      <c r="G502" s="36">
        <f>[502]Hoja1!$E$22</f>
        <v>0</v>
      </c>
      <c r="H502" s="36">
        <f>[502]Hoja1!$H$22</f>
        <v>45</v>
      </c>
      <c r="I502" s="36">
        <f t="shared" si="7"/>
        <v>45</v>
      </c>
      <c r="J502" s="37">
        <f>MAX([502]Hoja1!$A$5:$A$22)</f>
        <v>44043</v>
      </c>
      <c r="K502" s="38" t="str">
        <f>IF(ISTEXT([502]Hoja1!$A$23),[502]Hoja1!$A$23,"")</f>
        <v/>
      </c>
    </row>
    <row r="503" spans="2:11" x14ac:dyDescent="0.45">
      <c r="B503" s="39" t="s">
        <v>542</v>
      </c>
      <c r="C503" s="35" t="str">
        <f>[503]Hoja1!$A$1</f>
        <v>754-10802A</v>
      </c>
      <c r="D503" s="36" t="str">
        <f>[503]Hoja1!$C$1</f>
        <v>junta puera de carter LPW4</v>
      </c>
      <c r="E503" s="36">
        <f>[503]Hoja1!$I$1</f>
        <v>0</v>
      </c>
      <c r="F503" s="36">
        <f>[503]Hoja1!$I$2</f>
        <v>1</v>
      </c>
      <c r="G503" s="36">
        <f>[503]Hoja1!$E$22</f>
        <v>0</v>
      </c>
      <c r="H503" s="36">
        <f>[503]Hoja1!$H$22</f>
        <v>45</v>
      </c>
      <c r="I503" s="36">
        <f t="shared" si="7"/>
        <v>45</v>
      </c>
      <c r="J503" s="37">
        <f>MAX([503]Hoja1!$A$5:$A$22)</f>
        <v>44043</v>
      </c>
      <c r="K503" s="38" t="str">
        <f>IF(ISTEXT([503]Hoja1!$A$23),[503]Hoja1!$A$23,"")</f>
        <v/>
      </c>
    </row>
    <row r="504" spans="2:11" x14ac:dyDescent="0.45">
      <c r="B504" s="39" t="s">
        <v>543</v>
      </c>
      <c r="C504" s="35" t="str">
        <f>[504]Hoja1!$A$1</f>
        <v>754-10804I</v>
      </c>
      <c r="D504" s="36" t="str">
        <f>[504]Hoja1!$C$1</f>
        <v>junta puera de carter LPWX4</v>
      </c>
      <c r="E504" s="36">
        <f>[504]Hoja1!$I$1</f>
        <v>0</v>
      </c>
      <c r="F504" s="36">
        <f>[504]Hoja1!$I$2</f>
        <v>1</v>
      </c>
      <c r="G504" s="36">
        <f>[504]Hoja1!$E$22</f>
        <v>0</v>
      </c>
      <c r="H504" s="36">
        <f>[504]Hoja1!$H$22</f>
        <v>45</v>
      </c>
      <c r="I504" s="36">
        <f t="shared" si="7"/>
        <v>45</v>
      </c>
      <c r="J504" s="37">
        <f>MAX([504]Hoja1!$A$5:$A$22)</f>
        <v>44043</v>
      </c>
      <c r="K504" s="38" t="str">
        <f>IF(ISTEXT([504]Hoja1!$A$23),[504]Hoja1!$A$23,"")</f>
        <v>de desarme de juego - sin valor contable.</v>
      </c>
    </row>
    <row r="505" spans="2:11" x14ac:dyDescent="0.45">
      <c r="B505" s="45" t="s">
        <v>544</v>
      </c>
      <c r="C505" s="35" t="str">
        <f>[505]Hoja1!$A$1</f>
        <v>754-15120I</v>
      </c>
      <c r="D505" s="36" t="str">
        <f>[505]Hoja1!$C$1</f>
        <v>varilla de medicion de aceite  LPW</v>
      </c>
      <c r="E505" s="36">
        <f>[505]Hoja1!$I$1</f>
        <v>0</v>
      </c>
      <c r="F505" s="36">
        <f>[505]Hoja1!$I$2</f>
        <v>1</v>
      </c>
      <c r="G505" s="36">
        <f>[505]Hoja1!$E$22</f>
        <v>0</v>
      </c>
      <c r="H505" s="36">
        <f>[505]Hoja1!$H$22</f>
        <v>1</v>
      </c>
      <c r="I505" s="36">
        <f t="shared" si="7"/>
        <v>1</v>
      </c>
      <c r="J505" s="37">
        <f>MAX([505]Hoja1!$A$5:$A$22)</f>
        <v>44043</v>
      </c>
      <c r="K505" s="38" t="str">
        <f>IF(ISTEXT([505]Hoja1!$A$23),[505]Hoja1!$A$23,"")</f>
        <v/>
      </c>
    </row>
    <row r="506" spans="2:11" x14ac:dyDescent="0.45">
      <c r="B506" s="39" t="s">
        <v>545</v>
      </c>
      <c r="C506" s="35" t="str">
        <f>[506]Hoja1!$A$1</f>
        <v>754-15120I</v>
      </c>
      <c r="D506" s="36" t="str">
        <f>[506]Hoja1!$C$1</f>
        <v>varella medic aceite LPW</v>
      </c>
      <c r="E506" s="36">
        <f>[506]Hoja1!$I$1</f>
        <v>0</v>
      </c>
      <c r="F506" s="36">
        <f>[506]Hoja1!$I$2</f>
        <v>1</v>
      </c>
      <c r="G506" s="36">
        <f>[506]Hoja1!$E$22</f>
        <v>0</v>
      </c>
      <c r="H506" s="36">
        <f>[506]Hoja1!$H$22</f>
        <v>1</v>
      </c>
      <c r="I506" s="36">
        <f t="shared" si="7"/>
        <v>1</v>
      </c>
      <c r="J506" s="37">
        <f>MAX([506]Hoja1!$A$5:$A$22)</f>
        <v>44043</v>
      </c>
      <c r="K506" s="38" t="str">
        <f>IF(ISTEXT([506]Hoja1!$A$23),[506]Hoja1!$A$23,"")</f>
        <v/>
      </c>
    </row>
    <row r="507" spans="2:11" x14ac:dyDescent="0.45">
      <c r="B507" s="39" t="s">
        <v>546</v>
      </c>
      <c r="C507" s="35" t="str">
        <f>[507]Hoja1!$A$1</f>
        <v>754-17740I</v>
      </c>
      <c r="D507" s="36" t="str">
        <f>[507]Hoja1!$C$1</f>
        <v>caño filtro a bombas   LPW4</v>
      </c>
      <c r="E507" s="36">
        <f>[507]Hoja1!$I$1</f>
        <v>0</v>
      </c>
      <c r="F507" s="36">
        <f>[507]Hoja1!$I$2</f>
        <v>1</v>
      </c>
      <c r="G507" s="36">
        <f>[507]Hoja1!$E$22</f>
        <v>0</v>
      </c>
      <c r="H507" s="36">
        <f>[507]Hoja1!$H$22</f>
        <v>2</v>
      </c>
      <c r="I507" s="36">
        <f t="shared" si="7"/>
        <v>2</v>
      </c>
      <c r="J507" s="37">
        <f>MAX([507]Hoja1!$A$5:$A$22)</f>
        <v>44043</v>
      </c>
      <c r="K507" s="38" t="str">
        <f>IF(ISTEXT([507]Hoja1!$A$23),[507]Hoja1!$A$23,"")</f>
        <v/>
      </c>
    </row>
    <row r="508" spans="2:11" x14ac:dyDescent="0.45">
      <c r="B508" s="39" t="s">
        <v>547</v>
      </c>
      <c r="C508" s="35" t="str">
        <f>[508]Hoja1!$A$1</f>
        <v>754-40891A</v>
      </c>
      <c r="D508" s="36" t="str">
        <f>[508]Hoja1!$C$1</f>
        <v>junta cabeza de cilindro  LPW4</v>
      </c>
      <c r="E508" s="36">
        <f>[508]Hoja1!$I$1</f>
        <v>0</v>
      </c>
      <c r="F508" s="36">
        <f>[508]Hoja1!$I$2</f>
        <v>1</v>
      </c>
      <c r="G508" s="36">
        <f>[508]Hoja1!$E$22</f>
        <v>5</v>
      </c>
      <c r="H508" s="36">
        <f>[508]Hoja1!$H$22</f>
        <v>10</v>
      </c>
      <c r="I508" s="36">
        <f t="shared" si="7"/>
        <v>15</v>
      </c>
      <c r="J508" s="37">
        <f>MAX([508]Hoja1!$A$5:$A$22)</f>
        <v>44073</v>
      </c>
      <c r="K508" s="38" t="str">
        <f>IF(ISTEXT([508]Hoja1!$A$23),[508]Hoja1!$A$23,"")</f>
        <v/>
      </c>
    </row>
    <row r="509" spans="2:11" x14ac:dyDescent="0.45">
      <c r="B509" s="45" t="s">
        <v>548</v>
      </c>
      <c r="C509" s="35" t="str">
        <f>[509]Hoja1!$A$1</f>
        <v>754-40891I</v>
      </c>
      <c r="D509" s="36" t="str">
        <f>[509]Hoja1!$C$1</f>
        <v>junta cabeza de cilindro  LPW4</v>
      </c>
      <c r="E509" s="36">
        <f>[509]Hoja1!$I$1</f>
        <v>0</v>
      </c>
      <c r="F509" s="36">
        <f>[509]Hoja1!$I$2</f>
        <v>1</v>
      </c>
      <c r="G509" s="36">
        <f>[509]Hoja1!$E$22</f>
        <v>3</v>
      </c>
      <c r="H509" s="36">
        <f>[509]Hoja1!$H$22</f>
        <v>0</v>
      </c>
      <c r="I509" s="36">
        <f t="shared" si="7"/>
        <v>3</v>
      </c>
      <c r="J509" s="37">
        <f>MAX([509]Hoja1!$A$5:$A$22)</f>
        <v>44078</v>
      </c>
      <c r="K509" s="38" t="str">
        <f>IF(ISTEXT([509]Hoja1!$A$23),[509]Hoja1!$A$23,"")</f>
        <v/>
      </c>
    </row>
    <row r="510" spans="2:11" x14ac:dyDescent="0.45">
      <c r="B510" s="39" t="s">
        <v>549</v>
      </c>
      <c r="C510" s="35" t="str">
        <f>[510]Hoja1!$A$1</f>
        <v>754-42320I</v>
      </c>
      <c r="D510" s="36" t="str">
        <f>[510]Hoja1!$C$1</f>
        <v>junta turbo  LPW4T</v>
      </c>
      <c r="E510" s="36">
        <f>[510]Hoja1!$I$1</f>
        <v>0</v>
      </c>
      <c r="F510" s="36">
        <f>[510]Hoja1!$I$2</f>
        <v>1</v>
      </c>
      <c r="G510" s="36">
        <f>[510]Hoja1!$E$22</f>
        <v>0</v>
      </c>
      <c r="H510" s="36">
        <f>[510]Hoja1!$H$22</f>
        <v>5</v>
      </c>
      <c r="I510" s="36">
        <f t="shared" si="7"/>
        <v>5</v>
      </c>
      <c r="J510" s="37">
        <f>MAX([510]Hoja1!$A$5:$A$22)</f>
        <v>44043</v>
      </c>
      <c r="K510" s="38" t="str">
        <f>IF(ISTEXT([510]Hoja1!$A$23),[510]Hoja1!$A$23,"")</f>
        <v/>
      </c>
    </row>
    <row r="511" spans="2:11" x14ac:dyDescent="0.45">
      <c r="B511" s="39" t="s">
        <v>550</v>
      </c>
      <c r="C511" s="35" t="str">
        <f>[511]Hoja1!$A$1</f>
        <v>754-42531I</v>
      </c>
      <c r="D511" s="36" t="str">
        <f>[511]Hoja1!$C$1</f>
        <v>junta brida turbo  LPW4T</v>
      </c>
      <c r="E511" s="36">
        <f>[511]Hoja1!$I$1</f>
        <v>0</v>
      </c>
      <c r="F511" s="36">
        <f>[511]Hoja1!$I$2</f>
        <v>1</v>
      </c>
      <c r="G511" s="36">
        <f>[511]Hoja1!$E$22</f>
        <v>0</v>
      </c>
      <c r="H511" s="36">
        <f>[511]Hoja1!$H$22</f>
        <v>5</v>
      </c>
      <c r="I511" s="36">
        <f t="shared" si="7"/>
        <v>5</v>
      </c>
      <c r="J511" s="37">
        <f>MAX([511]Hoja1!$A$5:$A$22)</f>
        <v>44043</v>
      </c>
      <c r="K511" s="38" t="str">
        <f>IF(ISTEXT([511]Hoja1!$A$23),[511]Hoja1!$A$23,"")</f>
        <v/>
      </c>
    </row>
    <row r="512" spans="2:11" x14ac:dyDescent="0.45">
      <c r="B512" s="39" t="s">
        <v>551</v>
      </c>
      <c r="C512" s="35" t="str">
        <f>[512]Hoja1!$A$1</f>
        <v>754-42640I</v>
      </c>
      <c r="D512" s="36" t="str">
        <f>[512]Hoja1!$C$1</f>
        <v>junta  turbo  LPW4T</v>
      </c>
      <c r="E512" s="36">
        <f>[512]Hoja1!$I$1</f>
        <v>0</v>
      </c>
      <c r="F512" s="36">
        <f>[512]Hoja1!$I$2</f>
        <v>1</v>
      </c>
      <c r="G512" s="36">
        <f>[512]Hoja1!$E$22</f>
        <v>0</v>
      </c>
      <c r="H512" s="36">
        <f>[512]Hoja1!$H$22</f>
        <v>20</v>
      </c>
      <c r="I512" s="36">
        <f t="shared" si="7"/>
        <v>20</v>
      </c>
      <c r="J512" s="37">
        <f>MAX([512]Hoja1!$A$5:$A$22)</f>
        <v>44043</v>
      </c>
      <c r="K512" s="38" t="str">
        <f>IF(ISTEXT([512]Hoja1!$A$23),[512]Hoja1!$A$23,"")</f>
        <v/>
      </c>
    </row>
    <row r="513" spans="2:11" x14ac:dyDescent="0.45">
      <c r="B513" s="39" t="s">
        <v>552</v>
      </c>
      <c r="C513" s="35" t="str">
        <f>[513]Hoja1!$A$1</f>
        <v>754-43311I</v>
      </c>
      <c r="D513" s="36" t="str">
        <f>[513]Hoja1!$C$1</f>
        <v>refrigerador de aceite   LPW4T</v>
      </c>
      <c r="E513" s="36">
        <f>[513]Hoja1!$I$1</f>
        <v>0</v>
      </c>
      <c r="F513" s="36">
        <f>[513]Hoja1!$I$2</f>
        <v>1</v>
      </c>
      <c r="G513" s="36">
        <f>[513]Hoja1!$E$22</f>
        <v>0</v>
      </c>
      <c r="H513" s="36">
        <f>[513]Hoja1!$H$22</f>
        <v>2</v>
      </c>
      <c r="I513" s="36">
        <f t="shared" si="7"/>
        <v>2</v>
      </c>
      <c r="J513" s="37">
        <f>MAX([513]Hoja1!$A$5:$A$22)</f>
        <v>44043</v>
      </c>
      <c r="K513" s="38" t="str">
        <f>IF(ISTEXT([513]Hoja1!$A$23),[513]Hoja1!$A$23,"")</f>
        <v>tomado de motores nuevos - sin valor contable</v>
      </c>
    </row>
    <row r="514" spans="2:11" x14ac:dyDescent="0.45">
      <c r="B514" s="39" t="s">
        <v>553</v>
      </c>
      <c r="C514" s="35" t="str">
        <f>[514]Hoja1!$A$1</f>
        <v>754-43320I</v>
      </c>
      <c r="D514" s="36" t="str">
        <f>[514]Hoja1!$C$1</f>
        <v>adaptador de filtro   LPW4</v>
      </c>
      <c r="E514" s="36">
        <f>[514]Hoja1!$I$1</f>
        <v>0</v>
      </c>
      <c r="F514" s="36">
        <f>[514]Hoja1!$I$2</f>
        <v>1</v>
      </c>
      <c r="G514" s="36">
        <f>[514]Hoja1!$E$22</f>
        <v>0</v>
      </c>
      <c r="H514" s="36">
        <f>[514]Hoja1!$H$22</f>
        <v>2</v>
      </c>
      <c r="I514" s="36">
        <f t="shared" si="7"/>
        <v>2</v>
      </c>
      <c r="J514" s="37">
        <f>MAX([514]Hoja1!$A$5:$A$22)</f>
        <v>44043</v>
      </c>
      <c r="K514" s="38" t="str">
        <f>IF(ISTEXT([514]Hoja1!$A$23),[514]Hoja1!$A$23,"")</f>
        <v/>
      </c>
    </row>
    <row r="515" spans="2:11" x14ac:dyDescent="0.45">
      <c r="B515" s="39" t="s">
        <v>554</v>
      </c>
      <c r="C515" s="35" t="str">
        <f>[515]Hoja1!$A$1</f>
        <v>754-44580I</v>
      </c>
      <c r="D515" s="36" t="str">
        <f>[515]Hoja1!$C$1</f>
        <v>o´ring de refrigerador aceite   LPW4</v>
      </c>
      <c r="E515" s="36">
        <f>[515]Hoja1!$I$1</f>
        <v>0</v>
      </c>
      <c r="F515" s="36">
        <f>[515]Hoja1!$I$2</f>
        <v>1</v>
      </c>
      <c r="G515" s="36">
        <f>[515]Hoja1!$E$22</f>
        <v>0</v>
      </c>
      <c r="H515" s="36">
        <f>[515]Hoja1!$H$22</f>
        <v>1</v>
      </c>
      <c r="I515" s="36">
        <f t="shared" ref="I515:I532" si="8">SUM(G515:H515)</f>
        <v>1</v>
      </c>
      <c r="J515" s="37">
        <f>MAX([515]Hoja1!$A$5:$A$22)</f>
        <v>44043</v>
      </c>
      <c r="K515" s="38" t="str">
        <f>IF(ISTEXT([515]Hoja1!$A$23),[515]Hoja1!$A$23,"")</f>
        <v/>
      </c>
    </row>
    <row r="516" spans="2:11" x14ac:dyDescent="0.45">
      <c r="B516" s="45" t="s">
        <v>555</v>
      </c>
      <c r="C516" s="35" t="str">
        <f>[516]Hoja1!$A$1</f>
        <v>754-44590I</v>
      </c>
      <c r="D516" s="36" t="str">
        <f>[516]Hoja1!$C$1</f>
        <v>caños de refrig de aceite   LPW</v>
      </c>
      <c r="E516" s="36">
        <f>[516]Hoja1!$I$1</f>
        <v>0</v>
      </c>
      <c r="F516" s="36">
        <f>[516]Hoja1!$I$2</f>
        <v>1</v>
      </c>
      <c r="G516" s="36">
        <f>[516]Hoja1!$E$22</f>
        <v>0</v>
      </c>
      <c r="H516" s="36">
        <f>[516]Hoja1!$H$22</f>
        <v>4</v>
      </c>
      <c r="I516" s="36">
        <f t="shared" si="8"/>
        <v>4</v>
      </c>
      <c r="J516" s="37">
        <f>MAX([516]Hoja1!$A$5:$A$22)</f>
        <v>44043</v>
      </c>
      <c r="K516" s="38" t="str">
        <f>IF(ISTEXT([516]Hoja1!$A$23),[516]Hoja1!$A$23,"")</f>
        <v/>
      </c>
    </row>
    <row r="517" spans="2:11" x14ac:dyDescent="0.45">
      <c r="B517" s="39" t="s">
        <v>556</v>
      </c>
      <c r="C517" s="35" t="str">
        <f>[517]Hoja1!$A$1</f>
        <v>757-10442I</v>
      </c>
      <c r="D517" s="36" t="str">
        <f>[517]Hoja1!$C$1</f>
        <v>montante base de radiador  LPW</v>
      </c>
      <c r="E517" s="36">
        <f>[517]Hoja1!$I$1</f>
        <v>0</v>
      </c>
      <c r="F517" s="36">
        <f>[517]Hoja1!$I$2</f>
        <v>1</v>
      </c>
      <c r="G517" s="36">
        <f>[517]Hoja1!$E$22</f>
        <v>0</v>
      </c>
      <c r="H517" s="36">
        <f>[517]Hoja1!$H$22</f>
        <v>4</v>
      </c>
      <c r="I517" s="36">
        <f t="shared" si="8"/>
        <v>4</v>
      </c>
      <c r="J517" s="37">
        <f>MAX([517]Hoja1!$A$5:$A$22)</f>
        <v>44043</v>
      </c>
      <c r="K517" s="38" t="str">
        <f>IF(ISTEXT([517]Hoja1!$A$23),[517]Hoja1!$A$23,"")</f>
        <v>sobrante de motores provistos a trenes ba - sin valor contable</v>
      </c>
    </row>
    <row r="518" spans="2:11" x14ac:dyDescent="0.45">
      <c r="B518" s="39" t="s">
        <v>557</v>
      </c>
      <c r="C518" s="35" t="str">
        <f>[518]Hoja1!$A$1</f>
        <v>757-10562I</v>
      </c>
      <c r="D518" s="36" t="str">
        <f>[518]Hoja1!$C$1</f>
        <v>caño inferior de radiador  LPW</v>
      </c>
      <c r="E518" s="36">
        <f>[518]Hoja1!$I$1</f>
        <v>0</v>
      </c>
      <c r="F518" s="36">
        <f>[518]Hoja1!$I$2</f>
        <v>1</v>
      </c>
      <c r="G518" s="36">
        <f>[518]Hoja1!$E$22</f>
        <v>0</v>
      </c>
      <c r="H518" s="36">
        <f>[518]Hoja1!$H$22</f>
        <v>1</v>
      </c>
      <c r="I518" s="36">
        <f t="shared" si="8"/>
        <v>1</v>
      </c>
      <c r="J518" s="37">
        <f>MAX([518]Hoja1!$A$5:$A$22)</f>
        <v>44043</v>
      </c>
      <c r="K518" s="38" t="str">
        <f>IF(ISTEXT([518]Hoja1!$A$23),[518]Hoja1!$A$23,"")</f>
        <v>mal comprado - sin uso</v>
      </c>
    </row>
    <row r="519" spans="2:11" x14ac:dyDescent="0.45">
      <c r="B519" s="39" t="s">
        <v>558</v>
      </c>
      <c r="C519" s="35" t="str">
        <f>[519]Hoja1!$A$1</f>
        <v>757-13121I</v>
      </c>
      <c r="D519" s="36" t="str">
        <f>[519]Hoja1!$C$1</f>
        <v>caño "U" de filtro de aire  LPW</v>
      </c>
      <c r="E519" s="36">
        <f>[519]Hoja1!$I$1</f>
        <v>0</v>
      </c>
      <c r="F519" s="36">
        <f>[519]Hoja1!$I$2</f>
        <v>1</v>
      </c>
      <c r="G519" s="36">
        <f>[519]Hoja1!$E$22</f>
        <v>0</v>
      </c>
      <c r="H519" s="36">
        <f>[519]Hoja1!$H$22</f>
        <v>5</v>
      </c>
      <c r="I519" s="36">
        <f t="shared" si="8"/>
        <v>5</v>
      </c>
      <c r="J519" s="37">
        <f>MAX([519]Hoja1!$A$5:$A$22)</f>
        <v>44043</v>
      </c>
      <c r="K519" s="38" t="str">
        <f>IF(ISTEXT([519]Hoja1!$A$23),[519]Hoja1!$A$23,"")</f>
        <v>sobrante de motores TBA - sin valor contable</v>
      </c>
    </row>
    <row r="520" spans="2:11" x14ac:dyDescent="0.45">
      <c r="B520" s="39" t="s">
        <v>559</v>
      </c>
      <c r="C520" s="35" t="str">
        <f>[520]Hoja1!$A$1</f>
        <v>757-13192I</v>
      </c>
      <c r="D520" s="36" t="str">
        <f>[520]Hoja1!$C$1</f>
        <v>montante base de radiador  LPW</v>
      </c>
      <c r="E520" s="36">
        <f>[520]Hoja1!$I$1</f>
        <v>0</v>
      </c>
      <c r="F520" s="36">
        <f>[520]Hoja1!$I$2</f>
        <v>1</v>
      </c>
      <c r="G520" s="36">
        <f>[520]Hoja1!$E$22</f>
        <v>0</v>
      </c>
      <c r="H520" s="36">
        <f>[520]Hoja1!$H$22</f>
        <v>4</v>
      </c>
      <c r="I520" s="36">
        <f t="shared" si="8"/>
        <v>4</v>
      </c>
      <c r="J520" s="37">
        <f>MAX([520]Hoja1!$A$5:$A$22)</f>
        <v>44043</v>
      </c>
      <c r="K520" s="38" t="str">
        <f>IF(ISTEXT([520]Hoja1!$A$23),[520]Hoja1!$A$23,"")</f>
        <v>hay sobrante de motores TBA sin valor contable</v>
      </c>
    </row>
    <row r="521" spans="2:11" x14ac:dyDescent="0.45">
      <c r="B521" s="39" t="s">
        <v>560</v>
      </c>
      <c r="C521" s="35" t="str">
        <f>[521]Hoja1!$A$1</f>
        <v>757-14175I</v>
      </c>
      <c r="D521" s="36" t="str">
        <f>[521]Hoja1!$C$1</f>
        <v>bomba alimentacion   LPW</v>
      </c>
      <c r="E521" s="36">
        <f>[521]Hoja1!$I$1</f>
        <v>0</v>
      </c>
      <c r="F521" s="36">
        <f>[521]Hoja1!$I$2</f>
        <v>1</v>
      </c>
      <c r="G521" s="36">
        <f>[521]Hoja1!$E$22</f>
        <v>1</v>
      </c>
      <c r="H521" s="36">
        <f>[521]Hoja1!$H$22</f>
        <v>7</v>
      </c>
      <c r="I521" s="36">
        <f t="shared" si="8"/>
        <v>8</v>
      </c>
      <c r="J521" s="37">
        <f>MAX([521]Hoja1!$A$5:$A$22)</f>
        <v>44135</v>
      </c>
      <c r="K521" s="38" t="str">
        <f>IF(ISTEXT([521]Hoja1!$A$23),[521]Hoja1!$A$23,"")</f>
        <v/>
      </c>
    </row>
    <row r="522" spans="2:11" x14ac:dyDescent="0.45">
      <c r="B522" s="39" t="s">
        <v>561</v>
      </c>
      <c r="C522" s="35" t="str">
        <f>[522]Hoja1!$A$1</f>
        <v>757-14981I</v>
      </c>
      <c r="D522" s="36" t="str">
        <f>[522]Hoja1!$C$1</f>
        <v>relay de arranque   LPW</v>
      </c>
      <c r="E522" s="36">
        <f>[522]Hoja1!$I$1</f>
        <v>0</v>
      </c>
      <c r="F522" s="36">
        <f>[522]Hoja1!$I$2</f>
        <v>1</v>
      </c>
      <c r="G522" s="36">
        <f>[522]Hoja1!$E$22</f>
        <v>0</v>
      </c>
      <c r="H522" s="36">
        <f>[522]Hoja1!$H$22</f>
        <v>1</v>
      </c>
      <c r="I522" s="36">
        <f t="shared" si="8"/>
        <v>1</v>
      </c>
      <c r="J522" s="37">
        <f>MAX([522]Hoja1!$A$5:$A$22)</f>
        <v>44043</v>
      </c>
      <c r="K522" s="38" t="str">
        <f>IF(ISTEXT([522]Hoja1!$A$23),[522]Hoja1!$A$23,"")</f>
        <v/>
      </c>
    </row>
    <row r="523" spans="2:11" x14ac:dyDescent="0.45">
      <c r="B523" s="39" t="s">
        <v>562</v>
      </c>
      <c r="C523" s="35" t="str">
        <f>[523]Hoja1!$A$1</f>
        <v>757-15721I</v>
      </c>
      <c r="D523" s="36" t="str">
        <f>[523]Hoja1!$C$1</f>
        <v>switch baja pres aceite vel variable    LPW</v>
      </c>
      <c r="E523" s="36">
        <f>[523]Hoja1!$I$1</f>
        <v>0</v>
      </c>
      <c r="F523" s="36">
        <f>[523]Hoja1!$I$2</f>
        <v>1</v>
      </c>
      <c r="G523" s="36">
        <f>[523]Hoja1!$E$22</f>
        <v>0</v>
      </c>
      <c r="H523" s="36">
        <f>[523]Hoja1!$H$22</f>
        <v>3</v>
      </c>
      <c r="I523" s="36">
        <f t="shared" si="8"/>
        <v>3</v>
      </c>
      <c r="J523" s="37">
        <f>MAX([523]Hoja1!$A$5:$A$22)</f>
        <v>44043</v>
      </c>
      <c r="K523" s="38" t="str">
        <f>IF(ISTEXT([523]Hoja1!$A$23),[523]Hoja1!$A$23,"")</f>
        <v/>
      </c>
    </row>
    <row r="524" spans="2:11" x14ac:dyDescent="0.45">
      <c r="B524" s="39" t="s">
        <v>563</v>
      </c>
      <c r="C524" s="35" t="str">
        <f>[524]Hoja1!$A$1</f>
        <v>757-16910I</v>
      </c>
      <c r="D524" s="36" t="str">
        <f>[524]Hoja1!$C$1</f>
        <v>buje montante de radiador LPW</v>
      </c>
      <c r="E524" s="36">
        <f>[524]Hoja1!$I$1</f>
        <v>0</v>
      </c>
      <c r="F524" s="36">
        <f>[524]Hoja1!$I$2</f>
        <v>1</v>
      </c>
      <c r="G524" s="36">
        <f>[524]Hoja1!$E$22</f>
        <v>0</v>
      </c>
      <c r="H524" s="36">
        <f>[524]Hoja1!$H$22</f>
        <v>4</v>
      </c>
      <c r="I524" s="36">
        <f t="shared" si="8"/>
        <v>4</v>
      </c>
      <c r="J524" s="37">
        <f>MAX([524]Hoja1!$A$5:$A$22)</f>
        <v>44043</v>
      </c>
      <c r="K524" s="38" t="str">
        <f>IF(ISTEXT([524]Hoja1!$A$23),[524]Hoja1!$A$23,"")</f>
        <v>sobrante de motores trenes ba - sin valor contable</v>
      </c>
    </row>
    <row r="525" spans="2:11" x14ac:dyDescent="0.45">
      <c r="B525" s="39" t="s">
        <v>564</v>
      </c>
      <c r="C525" s="35" t="str">
        <f>[525]Hoja1!$A$1</f>
        <v>757-17420I</v>
      </c>
      <c r="D525" s="36" t="str">
        <f>[525]Hoja1!$C$1</f>
        <v>espaciador de ventilador LPW</v>
      </c>
      <c r="E525" s="36">
        <f>[525]Hoja1!$I$1</f>
        <v>0</v>
      </c>
      <c r="F525" s="36">
        <f>[525]Hoja1!$I$2</f>
        <v>1</v>
      </c>
      <c r="G525" s="36">
        <f>[525]Hoja1!$E$22</f>
        <v>0</v>
      </c>
      <c r="H525" s="36">
        <f>[525]Hoja1!$H$22</f>
        <v>2</v>
      </c>
      <c r="I525" s="36">
        <f t="shared" si="8"/>
        <v>2</v>
      </c>
      <c r="J525" s="37">
        <f>MAX([525]Hoja1!$A$5:$A$22)</f>
        <v>44043</v>
      </c>
      <c r="K525" s="38" t="str">
        <f>IF(ISTEXT([525]Hoja1!$A$23),[525]Hoja1!$A$23,"")</f>
        <v>sobrante de motores tba .sin valor contable</v>
      </c>
    </row>
    <row r="526" spans="2:11" x14ac:dyDescent="0.45">
      <c r="B526" s="39" t="s">
        <v>565</v>
      </c>
      <c r="C526" s="35" t="str">
        <f>[526]Hoja1!$A$1</f>
        <v>757-18460I</v>
      </c>
      <c r="D526" s="36" t="str">
        <f>[526]Hoja1!$C$1</f>
        <v>caño superior de radiador LPW</v>
      </c>
      <c r="E526" s="36">
        <f>[526]Hoja1!$I$1</f>
        <v>0</v>
      </c>
      <c r="F526" s="36">
        <f>[526]Hoja1!$I$2</f>
        <v>1</v>
      </c>
      <c r="G526" s="36">
        <f>[526]Hoja1!$E$22</f>
        <v>0</v>
      </c>
      <c r="H526" s="36">
        <f>[526]Hoja1!$H$22</f>
        <v>3</v>
      </c>
      <c r="I526" s="36">
        <f t="shared" si="8"/>
        <v>3</v>
      </c>
      <c r="J526" s="37">
        <f>MAX([526]Hoja1!$A$5:$A$22)</f>
        <v>44043</v>
      </c>
      <c r="K526" s="38" t="str">
        <f>IF(ISTEXT([526]Hoja1!$A$23),[526]Hoja1!$A$23,"")</f>
        <v>ver costo breeza fans</v>
      </c>
    </row>
    <row r="527" spans="2:11" x14ac:dyDescent="0.45">
      <c r="B527" s="39" t="s">
        <v>566</v>
      </c>
      <c r="C527" s="35" t="str">
        <f>[527]Hoja1!$A$1</f>
        <v>757-18811I</v>
      </c>
      <c r="D527" s="36" t="str">
        <f>[527]Hoja1!$C$1</f>
        <v>caño de comb filtro a bombas  LPW4</v>
      </c>
      <c r="E527" s="36">
        <f>[527]Hoja1!$I$1</f>
        <v>0</v>
      </c>
      <c r="F527" s="36">
        <f>[527]Hoja1!$I$2</f>
        <v>1</v>
      </c>
      <c r="G527" s="36">
        <f>[527]Hoja1!$E$22</f>
        <v>0</v>
      </c>
      <c r="H527" s="36">
        <f>[527]Hoja1!$H$22</f>
        <v>5</v>
      </c>
      <c r="I527" s="36">
        <f t="shared" si="8"/>
        <v>5</v>
      </c>
      <c r="J527" s="37">
        <f>MAX([527]Hoja1!$A$5:$A$22)</f>
        <v>44043</v>
      </c>
      <c r="K527" s="38" t="str">
        <f>IF(ISTEXT([527]Hoja1!$A$23),[527]Hoja1!$A$23,"")</f>
        <v>a confirmar slock  10/2020</v>
      </c>
    </row>
    <row r="528" spans="2:11" x14ac:dyDescent="0.45">
      <c r="B528" s="39" t="s">
        <v>567</v>
      </c>
      <c r="C528" s="35" t="str">
        <f>[528]Hoja1!$A$1</f>
        <v>757-20300I</v>
      </c>
      <c r="D528" s="36" t="str">
        <f>[528]Hoja1!$C$1</f>
        <v>caño inferior de radiador  LPW</v>
      </c>
      <c r="E528" s="36">
        <f>[528]Hoja1!$I$1</f>
        <v>0</v>
      </c>
      <c r="F528" s="36">
        <f>[528]Hoja1!$I$2</f>
        <v>1</v>
      </c>
      <c r="G528" s="36">
        <f>[528]Hoja1!$E$22</f>
        <v>0</v>
      </c>
      <c r="H528" s="36">
        <f>[528]Hoja1!$H$22</f>
        <v>2</v>
      </c>
      <c r="I528" s="36">
        <f t="shared" si="8"/>
        <v>2</v>
      </c>
      <c r="J528" s="37">
        <f>MAX([528]Hoja1!$A$5:$A$22)</f>
        <v>44043</v>
      </c>
      <c r="K528" s="38" t="str">
        <f>IF(ISTEXT([528]Hoja1!$A$23),[528]Hoja1!$A$23,"")</f>
        <v/>
      </c>
    </row>
    <row r="529" spans="2:11" x14ac:dyDescent="0.45">
      <c r="B529" s="39" t="s">
        <v>568</v>
      </c>
      <c r="C529" s="35" t="str">
        <f>[529]Hoja1!$A$1</f>
        <v>757-24700I</v>
      </c>
      <c r="D529" s="36" t="str">
        <f>[529]Hoja1!$C$1</f>
        <v>varilla y soporte de solenoide   LPW</v>
      </c>
      <c r="E529" s="36">
        <f>[529]Hoja1!$I$1</f>
        <v>0</v>
      </c>
      <c r="F529" s="36">
        <f>[529]Hoja1!$I$2</f>
        <v>1</v>
      </c>
      <c r="G529" s="36">
        <f>[529]Hoja1!$E$22</f>
        <v>0</v>
      </c>
      <c r="H529" s="36">
        <f>[529]Hoja1!$H$22</f>
        <v>1</v>
      </c>
      <c r="I529" s="36">
        <f t="shared" si="8"/>
        <v>1</v>
      </c>
      <c r="J529" s="37">
        <f>MAX([529]Hoja1!$A$5:$A$22)</f>
        <v>44043</v>
      </c>
      <c r="K529" s="38" t="str">
        <f>IF(ISTEXT([529]Hoja1!$A$23),[529]Hoja1!$A$23,"")</f>
        <v/>
      </c>
    </row>
    <row r="530" spans="2:11" x14ac:dyDescent="0.45">
      <c r="B530" s="39" t="s">
        <v>569</v>
      </c>
      <c r="C530" s="35" t="str">
        <f>[530]Hoja1!$A$1</f>
        <v>757-26381I</v>
      </c>
      <c r="D530" s="36" t="str">
        <f>[530]Hoja1!$C$1</f>
        <v>switch baja pres aciete- vel fija -   LPW</v>
      </c>
      <c r="E530" s="36">
        <f>[530]Hoja1!$I$1</f>
        <v>0</v>
      </c>
      <c r="F530" s="36">
        <f>[530]Hoja1!$I$2</f>
        <v>1</v>
      </c>
      <c r="G530" s="36">
        <f>[530]Hoja1!$E$22</f>
        <v>0</v>
      </c>
      <c r="H530" s="36">
        <f>[530]Hoja1!$H$22</f>
        <v>3</v>
      </c>
      <c r="I530" s="36">
        <f t="shared" si="8"/>
        <v>3</v>
      </c>
      <c r="J530" s="37">
        <f>MAX([530]Hoja1!$A$5:$A$22)</f>
        <v>44043</v>
      </c>
      <c r="K530" s="38" t="str">
        <f>IF(ISTEXT([530]Hoja1!$A$23),[530]Hoja1!$A$23,"")</f>
        <v>van en LPW  builds 09 y 27</v>
      </c>
    </row>
    <row r="531" spans="2:11" x14ac:dyDescent="0.45">
      <c r="B531" s="39" t="s">
        <v>570</v>
      </c>
      <c r="C531" s="35" t="str">
        <f>[531]Hoja1!$A$1</f>
        <v>757-27890A</v>
      </c>
      <c r="D531" s="36" t="str">
        <f>[531]Hoja1!$C$1</f>
        <v>elemento filtro de aire   LPW</v>
      </c>
      <c r="E531" s="36">
        <f>[531]Hoja1!$I$1</f>
        <v>0</v>
      </c>
      <c r="F531" s="36">
        <f>[531]Hoja1!$I$2</f>
        <v>1</v>
      </c>
      <c r="G531" s="36">
        <f>[531]Hoja1!$E$22</f>
        <v>13</v>
      </c>
      <c r="H531" s="36">
        <f>[531]Hoja1!$H$22</f>
        <v>13</v>
      </c>
      <c r="I531" s="36">
        <f t="shared" si="8"/>
        <v>26</v>
      </c>
      <c r="J531" s="37">
        <f>MAX([531]Hoja1!$A$5:$A$22)</f>
        <v>44102</v>
      </c>
      <c r="K531" s="38" t="str">
        <f>IF(ISTEXT([531]Hoja1!$A$23),[531]Hoja1!$A$23,"")</f>
        <v>codigo de lio  VR463</v>
      </c>
    </row>
    <row r="532" spans="2:11" x14ac:dyDescent="0.45">
      <c r="B532" s="39" t="s">
        <v>571</v>
      </c>
      <c r="C532" s="35" t="str">
        <f>[532]Hoja1!$A$1</f>
        <v>757-32260I</v>
      </c>
      <c r="D532" s="36" t="str">
        <f>[532]Hoja1!$C$1</f>
        <v>elemento filtro de aire  TR (alto)</v>
      </c>
      <c r="E532" s="36">
        <f>[532]Hoja1!$I$1</f>
        <v>0</v>
      </c>
      <c r="F532" s="36">
        <f>[532]Hoja1!$I$2</f>
        <v>1</v>
      </c>
      <c r="G532" s="36">
        <f>[532]Hoja1!$E$22</f>
        <v>0</v>
      </c>
      <c r="H532" s="36">
        <f>[532]Hoja1!$H$22</f>
        <v>10</v>
      </c>
      <c r="I532" s="36">
        <f t="shared" si="8"/>
        <v>10</v>
      </c>
      <c r="J532" s="37">
        <f>MAX([532]Hoja1!$A$5:$A$22)</f>
        <v>44043</v>
      </c>
      <c r="K532" s="38" t="str">
        <f>IF(ISTEXT([532]Hoja1!$A$23),[532]Hoja1!$A$23,"")</f>
        <v>revisar codigo  - no aparece en manuales</v>
      </c>
    </row>
  </sheetData>
  <pageMargins left="0.70866141732283472" right="0.70866141732283472" top="0.74803149606299213" bottom="0.74803149606299213" header="0.31496062992125984" footer="0.31496062992125984"/>
  <pageSetup paperSize="9" scale="60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Hoja1</vt:lpstr>
      <vt:lpstr>Hoja2</vt:lpstr>
      <vt:lpstr>Listado</vt:lpstr>
      <vt:lpstr>Hoja1!Área_de_impresión</vt:lpstr>
      <vt:lpstr>Hoja2!Área_de_impresión</vt:lpstr>
      <vt:lpstr>Listado!Títulos_a_imprimir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</dc:creator>
  <cp:lastModifiedBy>Hector di Napoli</cp:lastModifiedBy>
  <cp:lastPrinted>2020-11-10T19:05:13Z</cp:lastPrinted>
  <dcterms:created xsi:type="dcterms:W3CDTF">2020-07-30T02:22:14Z</dcterms:created>
  <dcterms:modified xsi:type="dcterms:W3CDTF">2020-11-12T18:32:42Z</dcterms:modified>
</cp:coreProperties>
</file>